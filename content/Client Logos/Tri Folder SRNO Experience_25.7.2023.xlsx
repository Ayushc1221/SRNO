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Logos\"/>
    </mc:Choice>
  </mc:AlternateContent>
  <xr:revisionPtr revIDLastSave="0" documentId="13_ncr:1_{73E8747E-F2BB-4C67-8987-918C941DD23A}" xr6:coauthVersionLast="36" xr6:coauthVersionMax="36" xr10:uidLastSave="{00000000-0000-0000-0000-000000000000}"/>
  <bookViews>
    <workbookView minimized="1" xWindow="780" yWindow="1000" windowWidth="27640" windowHeight="16180" xr2:uid="{00000000-000D-0000-FFFF-FFFF00000000}"/>
  </bookViews>
  <sheets>
    <sheet name="Without Client" sheetId="10" r:id="rId1"/>
    <sheet name="With Client" sheetId="9" r:id="rId2"/>
    <sheet name="Combined" sheetId="8" r:id="rId3"/>
    <sheet name="Health" sheetId="2" r:id="rId4"/>
    <sheet name="Education" sheetId="4" r:id="rId5"/>
    <sheet name="Agriculture" sheetId="5" r:id="rId6"/>
    <sheet name="Livelihood" sheetId="6" r:id="rId7"/>
    <sheet name="Sanitation" sheetId="7" r:id="rId8"/>
  </sheets>
  <definedNames>
    <definedName name="_xlnm._FilterDatabase" localSheetId="2" hidden="1">Combined!$A$2:$H$81</definedName>
    <definedName name="_xlnm._FilterDatabase" localSheetId="3" hidden="1">Health!$A$3:$E$24</definedName>
    <definedName name="_xlnm._FilterDatabase" localSheetId="1" hidden="1">'With Client'!$A$2:$E$52</definedName>
    <definedName name="_xlnm._FilterDatabase" localSheetId="0" hidden="1">'Without Client'!$A$2:$D$39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0" l="1"/>
  <c r="J42" i="10" s="1"/>
  <c r="H41" i="10"/>
  <c r="J41" i="10" s="1"/>
  <c r="L41" i="10" s="1"/>
  <c r="H43" i="10"/>
  <c r="J43" i="10" s="1"/>
  <c r="H40" i="10"/>
  <c r="J40" i="10" s="1"/>
  <c r="E49" i="10"/>
  <c r="E7" i="7" l="1"/>
</calcChain>
</file>

<file path=xl/sharedStrings.xml><?xml version="1.0" encoding="utf-8"?>
<sst xmlns="http://schemas.openxmlformats.org/spreadsheetml/2006/main" count="930" uniqueCount="219">
  <si>
    <t>Sl No</t>
  </si>
  <si>
    <t>Project name</t>
  </si>
  <si>
    <t>Duration</t>
  </si>
  <si>
    <t>Funding 
Agency</t>
  </si>
  <si>
    <t>Sectioned Date</t>
  </si>
  <si>
    <t>Ending Date</t>
  </si>
  <si>
    <t>Jaipur, Churu (Rajasthan) &amp; Biashpur (CG)</t>
  </si>
  <si>
    <t xml:space="preserve">Magic Bus India India Foundation </t>
  </si>
  <si>
    <t xml:space="preserve">Third Party Evaluation on health promotion, prevention and early   deduction and management of common cancer (Brest, Oral and Cervical) in women age between 30 to 70 years old.  </t>
  </si>
  <si>
    <t xml:space="preserve">Patna &amp; Vaishali District of Bihar </t>
  </si>
  <si>
    <t>MAMTA Health Institution for Mother Health</t>
  </si>
  <si>
    <t>Baseline Study on Looking to map the dairy practices and agricultural practices</t>
  </si>
  <si>
    <t>Solidaridad Asia</t>
  </si>
  <si>
    <t>Third party Evaluation on Accelerating efforts towards reducing burden of anaemia via social mobilization, communication &amp; system strengthening in Rohtak district of Haryana”</t>
  </si>
  <si>
    <t>Rohtak (Haryana)</t>
  </si>
  <si>
    <t>Conducting a community health assessment and impact assessment of CSR programs of CAIRN Foundation in Barmer district of Rajasthan</t>
  </si>
  <si>
    <t>Barmed District ( Rajsthan)</t>
  </si>
  <si>
    <t>NR Management Consultants India Pvt Ltd (NRMC), Delhi</t>
  </si>
  <si>
    <t xml:space="preserve">Baseline Study of Sahjeevan in Gujarat and Rajasthan </t>
  </si>
  <si>
    <t>Barmed District ( Rajsthan) &amp; Kuchha District of  Gujrat</t>
  </si>
  <si>
    <t xml:space="preserve"> NR Management Consultants India Pvt Ltd (NRMC), Delhi</t>
  </si>
  <si>
    <t>Artisan Training with Community Members, Community Led Water Security Management</t>
  </si>
  <si>
    <t>Sitapur &amp; Bareilly (UP)</t>
  </si>
  <si>
    <t>World Vision</t>
  </si>
  <si>
    <t>End-Line Survey to Assess the Current Level of Compliance of Section 4,5,6 &amp; 7 of COTPA 2003 in Uttar Pradesh</t>
  </si>
  <si>
    <t xml:space="preserve">10 Districts (Raibareily, Rampur, Sultanpur,  Jhanshi, Kannauj, Moradabad, Faizabad, Ambedkar Nagar, Shahjahanpur &amp; Pilibhit) of Uttar Pradesh </t>
  </si>
  <si>
    <t xml:space="preserve">Market Associations for Swachhata Competition and Ranking, Assessment </t>
  </si>
  <si>
    <t xml:space="preserve">Lucknow (UP) </t>
  </si>
  <si>
    <t xml:space="preserve">LMC, Lucknow Municipal Corporation </t>
  </si>
  <si>
    <t>Hotel for Swachhata Competition and Ranking  Assessment</t>
  </si>
  <si>
    <t>Municipal Corporation Lucknow</t>
  </si>
  <si>
    <t>WHO Competency assessments for midwifery skills of providers and tutors, and barriers and facilitators in providing quality midwifery services in India</t>
  </si>
  <si>
    <t xml:space="preserve">42 Districts of Uttar Pradesh, 12 District of Bihar and 8 District of Telangana </t>
  </si>
  <si>
    <t xml:space="preserve">Delhi &amp; Uttar Pradesh </t>
  </si>
  <si>
    <t xml:space="preserve">ARSH “KAP” Study On Adolescent Reproductive and Sexual Health,  Sitapur District       </t>
  </si>
  <si>
    <t>Sitapur (UP)</t>
  </si>
  <si>
    <t>APCO World Wide Pvt Ltd</t>
  </si>
  <si>
    <t>Situational Analysis Of The Implementation Of The Rastriya Kishore Swasthya Karyakram (RKSK) In Sitapur District Of Uttar Pradesh</t>
  </si>
  <si>
    <t>Population Foundation of India, PFI Delhi</t>
  </si>
  <si>
    <t>12 District of Assam &amp; 2 District of Arunachal Pradesh</t>
  </si>
  <si>
    <t>Conduct Baseline Survey Of The Core Group Polio Project (CGPP) In Uttar Pradesh And Haryana</t>
  </si>
  <si>
    <t>Bareilly, Kaushambi, Sitapur &amp; Mau (UP) Nuh District of Haryana</t>
  </si>
  <si>
    <t>Catholic Relief Services (CRS)</t>
  </si>
  <si>
    <t xml:space="preserve">End-line Survey for Reducing Maternal and New-born Deaths Project (ReMiND), Quantitative &amp; Qualitative Study </t>
  </si>
  <si>
    <t>Kaushambi &amp; Lucknow (UP)</t>
  </si>
  <si>
    <t xml:space="preserve">Internal Base Line Survey For Women Advancement in Rural Development and Agriculture </t>
  </si>
  <si>
    <t>Gaya, Bhagalpur, Patna, Vaishali, Samstipur, Bhaojpur, Nalanda (Bihar)</t>
  </si>
  <si>
    <t>Aswattha Advisors Pvt. Ltd. (TechnoServe)</t>
  </si>
  <si>
    <t>Baseline Survey-ISRN Ghaziabad</t>
  </si>
  <si>
    <t>HLFPPT Noida</t>
  </si>
  <si>
    <t xml:space="preserve">Base Line Survey For Women Advancement in Rural Development and Agriculture </t>
  </si>
  <si>
    <t>Purnia District (Bihar)</t>
  </si>
  <si>
    <t>Pre-test Protocol and Operational Plan for Pre-test of TV Advertisements and Radio Spots For the Nutrition Communication Campaign (WHO Assisted Project)</t>
  </si>
  <si>
    <t>Telangana, Maharashtra, Jharkhand, Bihar &amp; Chhatishgarh</t>
  </si>
  <si>
    <t>Attalika PMCS Pvt Ltd. (Behalf of World Bank &amp; Lintas)</t>
  </si>
  <si>
    <t xml:space="preserve">Rapid Assessment of Toilet Technologies used under SBM Rural  </t>
  </si>
  <si>
    <t>Bibar, Assam, UP, Jharkhand and MP</t>
  </si>
  <si>
    <t>Devinsights Pvt Ltd (On behalf of Water Aid)</t>
  </si>
  <si>
    <t>Health Facility Survey to assess preparedness of cold chain network for replicating Electronic Vaccine Intelligence Network  (eVIN)</t>
  </si>
  <si>
    <t>All Districts of Himachal Pradesh</t>
  </si>
  <si>
    <t>Attalika PMCS Pvt Ltd. (Behalf of UNDP)</t>
  </si>
  <si>
    <t>Cold Chain Inventory Project of 75 District of UP</t>
  </si>
  <si>
    <t>75 Districts of UP</t>
  </si>
  <si>
    <t>Attalika PMCS Pvt Ltd. (Behalf of CHAI Delhi)</t>
  </si>
  <si>
    <t>Base Line Survey For Assessing the Nutritional Status of Children and Youth Health Behaviour</t>
  </si>
  <si>
    <t>Barabanki District  (UP)</t>
  </si>
  <si>
    <t>Barabanki ADP, World Vision India</t>
  </si>
  <si>
    <t>Geotagging of Agri. Storage Infrastructures in Himachal</t>
  </si>
  <si>
    <t>Himachal</t>
  </si>
  <si>
    <t xml:space="preserve">On Behalf of Choice Consultancy Services Private Limited and commissioned by NABCONS </t>
  </si>
  <si>
    <t>Geotagging of Agri. Storage Infrastructures in Jammu &amp; Kashmir</t>
  </si>
  <si>
    <t>Jammu &amp; Kashmir</t>
  </si>
  <si>
    <t>Geotagging of Agri. Storage Infrastructures in Uttarakhand</t>
  </si>
  <si>
    <t>Geotagging of Agri. Storage Infrastructures in Punjab</t>
  </si>
  <si>
    <t>Uttarakhand</t>
  </si>
  <si>
    <t>Punjab</t>
  </si>
  <si>
    <t>Madhya Pradesh and Uttar Pradesh</t>
  </si>
  <si>
    <t xml:space="preserve">On Behalf of Data World Private Limited and commissioned by NABCONS </t>
  </si>
  <si>
    <t>Comprehensive Evaluation of Reliance Foundation Information Services Programme in 14 states of India</t>
  </si>
  <si>
    <t>Andhra Pradesh, Bihar, Gujarat, Jharkhand, Karnataka, Kerala, Madhya Pradesh, Maharashtra, Odisha, Rajasthan, Tamil Nadu, Telangana, Uttar Pradesh, West Bengal</t>
  </si>
  <si>
    <t>Social Impact Evaluation for IRMA</t>
  </si>
  <si>
    <t>Dhwani Rural Information Systems Pvt. Ltd.</t>
  </si>
  <si>
    <t>Talcher (Odisha)</t>
  </si>
  <si>
    <t>Baseline Study across implementing areas for Adolescent Holistic Education Programme in four states of India</t>
  </si>
  <si>
    <t>Maharashtra (Gadchiroli), Odisha (Kendhujhar), Telangana (Rangareddy) and Andhra Pradesh (Vishakapatnam)</t>
  </si>
  <si>
    <t>Amount</t>
  </si>
  <si>
    <t>Funding Agency</t>
  </si>
  <si>
    <t>SRNO_Education Project Details</t>
  </si>
  <si>
    <t>SRNO_Agriculture Project Details</t>
  </si>
  <si>
    <t>SRNO_Livelihood Project Details</t>
  </si>
  <si>
    <t>SRNO_Sanitation Project Details</t>
  </si>
  <si>
    <t>Magic Bus India India Foundation</t>
  </si>
  <si>
    <t>Jaipur, Rajasthan</t>
  </si>
  <si>
    <t>Impact Assessment – Shubh Aarambh</t>
  </si>
  <si>
    <t>Maharashtra</t>
  </si>
  <si>
    <t>Impact Assessment of the Skills Programme of Magic Bus - Tata Motors Finance</t>
  </si>
  <si>
    <t>Baddi (HP), Malanpur (MP), Induri (Maharashtra) and Sricity (Andhra Pradesh)</t>
  </si>
  <si>
    <t>Baseline qualitative assessment Tool for MT Project of Maharashtra</t>
  </si>
  <si>
    <t>Geographical Coverage Area</t>
  </si>
  <si>
    <t>Evidence Action Private Limited</t>
  </si>
  <si>
    <t>Community Health Assessment and Impact Assessment of CSR Programs of CAIRN Foundation in Barmer District of Rajasthan</t>
  </si>
  <si>
    <t>NR Management Consultants India Private Limited (NRMC)</t>
  </si>
  <si>
    <t>Barmer District of Rajasthan</t>
  </si>
  <si>
    <t>Baseline Survey for ASHA Sangini Scaleup Project</t>
  </si>
  <si>
    <t>Catholic Relief Services “CRS”, India</t>
  </si>
  <si>
    <t>Bareilly, Faizabad, Kannauj, Mirzapur and Sitapur</t>
  </si>
  <si>
    <t>End-line assessment for the project - Improving pre-conception, maternal and child health among the vulnerable and marginalized population of Mangolpuri and adjoining slums of West Delhi, India</t>
  </si>
  <si>
    <t>Mangolpuri and adjoining slums of West Delhi, India</t>
  </si>
  <si>
    <t>Baseline for the project on Improving Nutrition focused Maternal New-born Child Health Practices among Women in the Reproductive Age Group (18-35 years) through a Life Cycle based Intervention</t>
  </si>
  <si>
    <t>Palwal, Panipat and Jhajjar district of Haryana</t>
  </si>
  <si>
    <t>Baseline Study on Nutritious Status - Mothers and children working and non-working in Lucknow urban area</t>
  </si>
  <si>
    <t>Lucknow ADP, World Vision India</t>
  </si>
  <si>
    <t>Lucknow, Uttar Pradesh</t>
  </si>
  <si>
    <t xml:space="preserve">Uttar Pradesh Voluntary Health Association with Education Department of Baba Saheb Bhim Rao Ambedkar University Lucknow </t>
  </si>
  <si>
    <t>Karnataka</t>
  </si>
  <si>
    <t>Rajasthan</t>
  </si>
  <si>
    <t>Madhya Pradesh</t>
  </si>
  <si>
    <t>MCKS Baseline Survey (RKSK Mental Health)</t>
  </si>
  <si>
    <t>Base-line evaluation of Employability Education (EE) in school supported by ALSTOM</t>
  </si>
  <si>
    <t>Ansell India Project Endline Evaluation</t>
  </si>
  <si>
    <t>Baseline Study for Atos Syntel in Tirunelveli</t>
  </si>
  <si>
    <t>Impact Qualitative Assessment for BBC Project-Assam</t>
  </si>
  <si>
    <t>Endline Report for DBCPL project/ Year 5 evaluation</t>
  </si>
  <si>
    <t>Coverage Validation of Iron and Folic Acid (IFA) Supplementation Program September, 2022 in Rajasthan</t>
  </si>
  <si>
    <t>Endline Report for Emerson Project, Pune</t>
  </si>
  <si>
    <t>FIFA End Line Assessment in Mysuru</t>
  </si>
  <si>
    <t>Integrated Adolescent Educational &amp; Life Skill Programme Aspire Project</t>
  </si>
  <si>
    <t>Mid-line Study for JSW Foundation in Old Locations (Dolvi, Kalmeshwar, Vashind)</t>
  </si>
  <si>
    <t>JSW Evaluation (Qualitative Dip Stick Study)</t>
  </si>
  <si>
    <t>Impact Qualitative Assessment for Laureus Project in Jaynagar</t>
  </si>
  <si>
    <t>Baseline Study for Mark Scanlon Project in Kolkata, West Bengal</t>
  </si>
  <si>
    <t>Impact Evaluation of Mphasis Rural Recovery Program in Tamil Nadu</t>
  </si>
  <si>
    <t>Impact Evaluation of Google Rural Recovery Program in Maharashtra</t>
  </si>
  <si>
    <t>Impact Evaluation of Job Connect Program funded by The Nudge Institute</t>
  </si>
  <si>
    <t>Endline Assessment of Oracle in Karnataka and Tamilnadu</t>
  </si>
  <si>
    <t>Mid line Evaluation Study across Implementing Areas for Adolescent Holistic Education Programme in Four States of India</t>
  </si>
  <si>
    <t>Endline Evaluation Study for US Gala in Keonjhar</t>
  </si>
  <si>
    <t>Outcome Assessment Study for Vestas Factory Project, Oragadam</t>
  </si>
  <si>
    <t>Baseline evaluation of Employability Education (EE) in school Implemented by Magic Bus India Foundation and supported by Vik Uppal</t>
  </si>
  <si>
    <t>Chennai, Bangalore, Hyderabad and Mumbai</t>
  </si>
  <si>
    <t>Maharashtra, Orissa, Telangana, Andhra Pradesh</t>
  </si>
  <si>
    <t>Orissa</t>
  </si>
  <si>
    <t>Prayagraj (Uttar Pradesh)</t>
  </si>
  <si>
    <t>Oragadam</t>
  </si>
  <si>
    <t>Noida (UP)</t>
  </si>
  <si>
    <t>Mumbai Metropolitan Region – Nalasopara</t>
  </si>
  <si>
    <t>Tirunelveli</t>
  </si>
  <si>
    <t>Assam</t>
  </si>
  <si>
    <t>Maharashtra, Tamil Nadu, Karnataka and Orissa</t>
  </si>
  <si>
    <t xml:space="preserve">Baseline study across implementing areas under two projects: HDFC - Disha and UBS </t>
  </si>
  <si>
    <t>End-line Evaluation of  Magic Bus Employability Education Programme</t>
  </si>
  <si>
    <t>Jaynagar, West Bengal</t>
  </si>
  <si>
    <t>Kolkata, West Bengal</t>
  </si>
  <si>
    <t>Tamil Nadu</t>
  </si>
  <si>
    <t>Uttar Pradesh</t>
  </si>
  <si>
    <t>Grameen Foundation India</t>
  </si>
  <si>
    <t>Business Correspondent Network Managers (BCNM) Experiments Demonstrating Scale</t>
  </si>
  <si>
    <t>Multiple States</t>
  </si>
  <si>
    <t>Baseline Survey for the IFPRI-Applying New Evidence for Women's Empowerment (ANEW)</t>
  </si>
  <si>
    <t>Transform Agriculture in Uttar Pradesh</t>
  </si>
  <si>
    <t>Baseline Survey Market Access enabled by Digital Innovation (MANDI)</t>
  </si>
  <si>
    <t>Endline Survey Market Access enabled by Digital Innovation (MANDI)</t>
  </si>
  <si>
    <t>Endline Survey for the IFPRI-Applying New Evidence for Women's Empowerment (ANEW)</t>
  </si>
  <si>
    <t>Baseline Survey for the RCT to Understand the Role of DAS in Scaling of Sustainable Land Management Practices</t>
  </si>
  <si>
    <t>Baseline and Needs Assessment Study Services for NRMC’s CSR Program in Assam and Arunanchal Pradesh</t>
  </si>
  <si>
    <t>Impact Assessment of CSR Programs of CAIRN Foundation in Rajasthan</t>
  </si>
  <si>
    <t>Door to Door Survey in villages in Dhar district of Bikaner Rajasthan</t>
  </si>
  <si>
    <t>Bikaner Rajasthan</t>
  </si>
  <si>
    <t>Educate Girls</t>
  </si>
  <si>
    <t>Baseline Study &amp; Livelihood Mapping of families across 4 states (Chhattisgarh, Madhya Pradesh, Rajasthan, Uttar Pradesh) and in Identified Districts</t>
  </si>
  <si>
    <t>Caritas India</t>
  </si>
  <si>
    <t>Chhattisgarh, Madhya Pradesh, Rajasthan, Uttar Pradesh</t>
  </si>
  <si>
    <t xml:space="preserve">Swachhata Competition and Ranking  Assessment for Hospitals </t>
  </si>
  <si>
    <t>Lucknow Nagar Nigam</t>
  </si>
  <si>
    <t>Swachhata Competition among markets and hotels of Lucknow city</t>
  </si>
  <si>
    <t>Strengthen Food Security and Resilience among the most vulnerable household in Sagar and Panna districts of Madhya Pradesh</t>
  </si>
  <si>
    <t>World Vision India</t>
  </si>
  <si>
    <t>Conducting ODF Sustainability and SLWM (CLTS++++) in Selected Communities</t>
  </si>
  <si>
    <t>Assessing Solid &amp; Liquid Waste Management (SLWM) in the Community</t>
  </si>
  <si>
    <t>Plan, Design &amp; Develop Implementation Framework on SLWM</t>
  </si>
  <si>
    <t>Water Security Management</t>
  </si>
  <si>
    <t>World Vision India Lucknow</t>
  </si>
  <si>
    <t>Baseline Assessment for EMBED – Urban Dengue Project in Madhya Pradesh And Uttar Pradesh</t>
  </si>
  <si>
    <t xml:space="preserve">On Behalf of Iotalytics Research and Analytics Solutions Pvt Ltd
and commissioned by Family Health India and funded by Godrej Industries </t>
  </si>
  <si>
    <t>Agripath WP1 Vignettes Survey</t>
  </si>
  <si>
    <t>Rajasthan and Madhya Pradesh</t>
  </si>
  <si>
    <t>Independent Monitoring survey of school, Anganwadi and community based National Deworming Day (NDD) Program</t>
  </si>
  <si>
    <t>Uttarakhand, Bihar, Chattisgarh, Haryana, Karnataka, Andhra Pradesh, Jharkhand</t>
  </si>
  <si>
    <t>Theme</t>
  </si>
  <si>
    <t>Public Health</t>
  </si>
  <si>
    <t>End-line assessment for the project - Improving pre-conception, maternal and child health among the vulnerable and marginalized population</t>
  </si>
  <si>
    <t>Third party Evaluation on Accelerating efforts towards reducing burden of anaemia via social mobilization, communication &amp; system strengthening</t>
  </si>
  <si>
    <t>Education</t>
  </si>
  <si>
    <t>Agriculture</t>
  </si>
  <si>
    <t>Sanitation</t>
  </si>
  <si>
    <t>Livelihood</t>
  </si>
  <si>
    <t>Coverage Validation of Iron and Folic Acid (IFA) Supplementation Program September, 2022</t>
  </si>
  <si>
    <t>Himachal, Jammu &amp; Kashmir, Uttarakhand, Punjab</t>
  </si>
  <si>
    <t>New Delhi</t>
  </si>
  <si>
    <t>14 states of India</t>
  </si>
  <si>
    <t>Comprehensive Evaluation of Reliance Foundation Information Services Programme</t>
  </si>
  <si>
    <t>Maharashtra, Odisha, Telangana and Andhra Pradesh</t>
  </si>
  <si>
    <t>Baseline and Endline Survey for the IFPRI-Applying New Evidence for Women's Empowerment (ANEW)</t>
  </si>
  <si>
    <t>Baseline Study &amp; Livelihood Mapping of families across 4 states and in Identified Districts</t>
  </si>
  <si>
    <t>Himachal, Madhya Pradesh, Maharashtra, Andhra Pradesh</t>
  </si>
  <si>
    <t xml:space="preserve">Choice Consultancy Services Private Limited and commissioned by NABCONS </t>
  </si>
  <si>
    <t xml:space="preserve">Magic Bus India Foundation </t>
  </si>
  <si>
    <t>Magic Bus India Foundation</t>
  </si>
  <si>
    <t>Coverage Area</t>
  </si>
  <si>
    <t xml:space="preserve">10 Districts of Uttar Pradesh </t>
  </si>
  <si>
    <t>Maharashtra, Odisha, Telangana and Andhra</t>
  </si>
  <si>
    <t>Maharashtra, Orissa, Telangana, Andhra</t>
  </si>
  <si>
    <t>Baseline for the project on Improving Nutrition focused Maternal New-born Child Health Practices among Women in the Reproductive Age Group through a Life Cycle based Intervention</t>
  </si>
  <si>
    <t>Himachal, J&amp;K, Uttarakhand, Punjab</t>
  </si>
  <si>
    <t>Chhattisgarh, MP, Rajasthan, Uttar Pradesh</t>
  </si>
  <si>
    <t>Barmed ( Rajsthan) &amp; Kuchha District of Gujrat</t>
  </si>
  <si>
    <t>Health Facility Survey to assess preparedness of cold chain network for replicating Electronic Vaccine Intelligence Network</t>
  </si>
  <si>
    <t xml:space="preserve">Strengthen Food Security and Resilience among the most vulnerable household </t>
  </si>
  <si>
    <t xml:space="preserve">Uttar Pradesh, Bihar and Telangana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</si>
</sst>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G Times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6C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9" fillId="0" borderId="2" xfId="0" applyFont="1" applyBorder="1" applyAlignment="1">
      <alignment vertical="center" wrapText="1"/>
    </xf>
    <xf numFmtId="15" fontId="9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9" fillId="0" borderId="2" xfId="0" applyNumberFormat="1" applyFont="1" applyBorder="1" applyAlignment="1">
      <alignment horizontal="left" vertical="center" wrapText="1"/>
    </xf>
    <xf numFmtId="17" fontId="9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14" fontId="9" fillId="0" borderId="2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15" fontId="16" fillId="0" borderId="2" xfId="0" applyNumberFormat="1" applyFont="1" applyFill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15" fontId="16" fillId="0" borderId="2" xfId="0" applyNumberFormat="1" applyFont="1" applyBorder="1" applyAlignment="1">
      <alignment horizontal="left" vertical="center" wrapText="1"/>
    </xf>
    <xf numFmtId="17" fontId="16" fillId="0" borderId="2" xfId="0" applyNumberFormat="1" applyFont="1" applyBorder="1" applyAlignment="1">
      <alignment horizontal="left" vertical="center" wrapText="1"/>
    </xf>
    <xf numFmtId="14" fontId="16" fillId="0" borderId="2" xfId="0" applyNumberFormat="1" applyFont="1" applyFill="1" applyBorder="1" applyAlignment="1">
      <alignment horizontal="left" vertical="center" wrapText="1"/>
    </xf>
    <xf numFmtId="14" fontId="16" fillId="0" borderId="2" xfId="0" applyNumberFormat="1" applyFont="1" applyBorder="1" applyAlignment="1">
      <alignment horizontal="left" vertical="center" wrapText="1"/>
    </xf>
    <xf numFmtId="17" fontId="16" fillId="0" borderId="2" xfId="0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vertical="center" wrapText="1"/>
    </xf>
    <xf numFmtId="15" fontId="20" fillId="0" borderId="2" xfId="0" applyNumberFormat="1" applyFont="1" applyFill="1" applyBorder="1" applyAlignment="1">
      <alignment horizontal="left" vertical="center" wrapText="1"/>
    </xf>
    <xf numFmtId="0" fontId="20" fillId="0" borderId="2" xfId="0" applyFont="1" applyBorder="1" applyAlignment="1">
      <alignment vertical="center" wrapText="1"/>
    </xf>
    <xf numFmtId="15" fontId="20" fillId="0" borderId="2" xfId="0" applyNumberFormat="1" applyFont="1" applyBorder="1" applyAlignment="1">
      <alignment horizontal="left" vertical="center" wrapText="1"/>
    </xf>
    <xf numFmtId="17" fontId="20" fillId="0" borderId="2" xfId="0" applyNumberFormat="1" applyFont="1" applyBorder="1" applyAlignment="1">
      <alignment horizontal="left" vertical="center" wrapText="1"/>
    </xf>
    <xf numFmtId="14" fontId="20" fillId="0" borderId="2" xfId="0" applyNumberFormat="1" applyFont="1" applyFill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vertical="center" wrapText="1"/>
    </xf>
    <xf numFmtId="17" fontId="20" fillId="0" borderId="2" xfId="0" applyNumberFormat="1" applyFont="1" applyFill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/>
    </xf>
    <xf numFmtId="0" fontId="22" fillId="0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15" fontId="22" fillId="0" borderId="2" xfId="0" applyNumberFormat="1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17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18" fillId="0" borderId="0" xfId="0" applyFont="1" applyBorder="1" applyAlignment="1">
      <alignment vertical="center"/>
    </xf>
    <xf numFmtId="0" fontId="18" fillId="4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vertical="center" wrapText="1"/>
    </xf>
    <xf numFmtId="15" fontId="20" fillId="4" borderId="2" xfId="0" applyNumberFormat="1" applyFont="1" applyFill="1" applyBorder="1" applyAlignment="1">
      <alignment horizontal="left" vertical="center" wrapText="1"/>
    </xf>
    <xf numFmtId="17" fontId="20" fillId="4" borderId="2" xfId="0" applyNumberFormat="1" applyFont="1" applyFill="1" applyBorder="1" applyAlignment="1">
      <alignment horizontal="left" vertical="center" wrapText="1"/>
    </xf>
    <xf numFmtId="14" fontId="20" fillId="4" borderId="2" xfId="0" applyNumberFormat="1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wrapText="1"/>
    </xf>
    <xf numFmtId="0" fontId="20" fillId="5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horizontal="left" vertical="center" wrapText="1"/>
    </xf>
    <xf numFmtId="14" fontId="20" fillId="5" borderId="2" xfId="0" applyNumberFormat="1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vertical="center"/>
    </xf>
    <xf numFmtId="0" fontId="20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horizontal="left" vertical="center"/>
    </xf>
    <xf numFmtId="15" fontId="20" fillId="6" borderId="2" xfId="0" applyNumberFormat="1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left" vertical="center" wrapText="1"/>
    </xf>
    <xf numFmtId="0" fontId="20" fillId="5" borderId="7" xfId="0" applyFont="1" applyFill="1" applyBorder="1" applyAlignment="1">
      <alignment horizontal="left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vertical="center" wrapText="1"/>
    </xf>
    <xf numFmtId="15" fontId="20" fillId="6" borderId="9" xfId="0" applyNumberFormat="1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vertical="center"/>
    </xf>
    <xf numFmtId="0" fontId="20" fillId="6" borderId="1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3" fontId="1" fillId="0" borderId="0" xfId="0" applyNumberFormat="1" applyFont="1"/>
    <xf numFmtId="3" fontId="18" fillId="0" borderId="0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 wrapText="1"/>
    </xf>
    <xf numFmtId="0" fontId="23" fillId="0" borderId="0" xfId="0" applyFont="1" applyBorder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7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vertical="center" wrapText="1"/>
    </xf>
    <xf numFmtId="15" fontId="26" fillId="4" borderId="2" xfId="0" applyNumberFormat="1" applyFont="1" applyFill="1" applyBorder="1" applyAlignment="1">
      <alignment horizontal="left" vertical="center" wrapText="1"/>
    </xf>
    <xf numFmtId="17" fontId="26" fillId="4" borderId="2" xfId="0" applyNumberFormat="1" applyFont="1" applyFill="1" applyBorder="1" applyAlignment="1">
      <alignment horizontal="left" vertical="center" wrapText="1"/>
    </xf>
    <xf numFmtId="14" fontId="26" fillId="4" borderId="2" xfId="0" applyNumberFormat="1" applyFont="1" applyFill="1" applyBorder="1" applyAlignment="1">
      <alignment horizontal="left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vertical="center" wrapText="1"/>
    </xf>
    <xf numFmtId="0" fontId="26" fillId="2" borderId="2" xfId="0" applyFont="1" applyFill="1" applyBorder="1" applyAlignment="1">
      <alignment vertical="center" wrapText="1"/>
    </xf>
    <xf numFmtId="0" fontId="26" fillId="2" borderId="2" xfId="0" applyFont="1" applyFill="1" applyBorder="1" applyAlignment="1">
      <alignment wrapText="1"/>
    </xf>
    <xf numFmtId="0" fontId="25" fillId="5" borderId="6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5" fillId="5" borderId="7" xfId="0" applyFont="1" applyFill="1" applyBorder="1" applyAlignment="1">
      <alignment horizontal="left" vertical="center" wrapText="1"/>
    </xf>
    <xf numFmtId="14" fontId="26" fillId="5" borderId="2" xfId="0" applyNumberFormat="1" applyFont="1" applyFill="1" applyBorder="1" applyAlignment="1">
      <alignment horizontal="left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vertical="center" wrapText="1"/>
    </xf>
    <xf numFmtId="0" fontId="25" fillId="6" borderId="2" xfId="0" applyFont="1" applyFill="1" applyBorder="1" applyAlignment="1">
      <alignment horizontal="left" vertical="center" wrapText="1"/>
    </xf>
    <xf numFmtId="0" fontId="25" fillId="6" borderId="7" xfId="0" applyFont="1" applyFill="1" applyBorder="1" applyAlignment="1">
      <alignment vertical="center"/>
    </xf>
    <xf numFmtId="0" fontId="25" fillId="6" borderId="2" xfId="0" applyFont="1" applyFill="1" applyBorder="1" applyAlignment="1">
      <alignment vertical="center" wrapText="1"/>
    </xf>
    <xf numFmtId="0" fontId="25" fillId="6" borderId="2" xfId="0" applyFont="1" applyFill="1" applyBorder="1" applyAlignment="1">
      <alignment horizontal="left" vertical="center"/>
    </xf>
    <xf numFmtId="15" fontId="26" fillId="6" borderId="2" xfId="0" applyNumberFormat="1" applyFont="1" applyFill="1" applyBorder="1" applyAlignment="1">
      <alignment horizontal="left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26" fillId="6" borderId="9" xfId="0" applyFont="1" applyFill="1" applyBorder="1" applyAlignment="1">
      <alignment vertical="center" wrapText="1"/>
    </xf>
    <xf numFmtId="15" fontId="26" fillId="6" borderId="9" xfId="0" applyNumberFormat="1" applyFont="1" applyFill="1" applyBorder="1" applyAlignment="1">
      <alignment horizontal="left" vertical="center" wrapText="1"/>
    </xf>
    <xf numFmtId="0" fontId="25" fillId="6" borderId="10" xfId="0" applyFont="1" applyFill="1" applyBorder="1" applyAlignment="1">
      <alignment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5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6C1"/>
      <color rgb="FFFFCC99"/>
      <color rgb="FFFF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4520-642E-4928-9C66-FB6AFE6924A8}">
  <dimension ref="A1:L49"/>
  <sheetViews>
    <sheetView tabSelected="1" topLeftCell="A34" zoomScale="115" zoomScaleNormal="115" workbookViewId="0">
      <selection activeCell="B3" sqref="B3:B39"/>
    </sheetView>
  </sheetViews>
  <sheetFormatPr defaultColWidth="10.6640625" defaultRowHeight="14"/>
  <cols>
    <col min="1" max="1" width="3.83203125" style="175" bestFit="1" customWidth="1"/>
    <col min="2" max="2" width="48.83203125" style="176" customWidth="1"/>
    <col min="3" max="3" width="20" style="177" customWidth="1"/>
    <col min="4" max="4" width="9.1640625" style="176" bestFit="1" customWidth="1"/>
    <col min="5" max="16384" width="10.6640625" style="84"/>
  </cols>
  <sheetData>
    <row r="1" spans="1:4" ht="14.5" thickBot="1">
      <c r="A1" s="140"/>
      <c r="B1" s="140"/>
      <c r="C1" s="141"/>
      <c r="D1" s="140"/>
    </row>
    <row r="2" spans="1:4" s="132" customFormat="1" ht="28">
      <c r="A2" s="142" t="s">
        <v>0</v>
      </c>
      <c r="B2" s="143" t="s">
        <v>1</v>
      </c>
      <c r="C2" s="143" t="s">
        <v>208</v>
      </c>
      <c r="D2" s="144" t="s">
        <v>188</v>
      </c>
    </row>
    <row r="3" spans="1:4" ht="48" customHeight="1">
      <c r="A3" s="145">
        <v>1</v>
      </c>
      <c r="B3" s="146" t="s">
        <v>212</v>
      </c>
      <c r="C3" s="147" t="s">
        <v>109</v>
      </c>
      <c r="D3" s="148" t="s">
        <v>189</v>
      </c>
    </row>
    <row r="4" spans="1:4" ht="42">
      <c r="A4" s="145">
        <v>2</v>
      </c>
      <c r="B4" s="146" t="s">
        <v>190</v>
      </c>
      <c r="C4" s="147" t="s">
        <v>107</v>
      </c>
      <c r="D4" s="148" t="s">
        <v>189</v>
      </c>
    </row>
    <row r="5" spans="1:4" ht="28">
      <c r="A5" s="145">
        <v>3</v>
      </c>
      <c r="B5" s="149" t="s">
        <v>117</v>
      </c>
      <c r="C5" s="151" t="s">
        <v>33</v>
      </c>
      <c r="D5" s="148" t="s">
        <v>189</v>
      </c>
    </row>
    <row r="6" spans="1:4" ht="42">
      <c r="A6" s="145">
        <v>4</v>
      </c>
      <c r="B6" s="149" t="s">
        <v>31</v>
      </c>
      <c r="C6" s="150" t="s">
        <v>218</v>
      </c>
      <c r="D6" s="148" t="s">
        <v>189</v>
      </c>
    </row>
    <row r="7" spans="1:4" ht="28">
      <c r="A7" s="145">
        <v>5</v>
      </c>
      <c r="B7" s="149" t="s">
        <v>43</v>
      </c>
      <c r="C7" s="152" t="s">
        <v>44</v>
      </c>
      <c r="D7" s="148" t="s">
        <v>189</v>
      </c>
    </row>
    <row r="8" spans="1:4" ht="42">
      <c r="A8" s="145">
        <v>6</v>
      </c>
      <c r="B8" s="149" t="s">
        <v>37</v>
      </c>
      <c r="C8" s="152" t="s">
        <v>35</v>
      </c>
      <c r="D8" s="148" t="s">
        <v>189</v>
      </c>
    </row>
    <row r="9" spans="1:4" ht="28">
      <c r="A9" s="145">
        <v>7</v>
      </c>
      <c r="B9" s="149" t="s">
        <v>24</v>
      </c>
      <c r="C9" s="152" t="s">
        <v>209</v>
      </c>
      <c r="D9" s="148" t="s">
        <v>189</v>
      </c>
    </row>
    <row r="10" spans="1:4" ht="28">
      <c r="A10" s="145">
        <v>8</v>
      </c>
      <c r="B10" s="149" t="s">
        <v>64</v>
      </c>
      <c r="C10" s="151" t="s">
        <v>65</v>
      </c>
      <c r="D10" s="148" t="s">
        <v>189</v>
      </c>
    </row>
    <row r="11" spans="1:4" ht="28">
      <c r="A11" s="145">
        <v>9</v>
      </c>
      <c r="B11" s="149" t="s">
        <v>61</v>
      </c>
      <c r="C11" s="152" t="s">
        <v>62</v>
      </c>
      <c r="D11" s="148" t="s">
        <v>189</v>
      </c>
    </row>
    <row r="12" spans="1:4" ht="28">
      <c r="A12" s="145">
        <v>10</v>
      </c>
      <c r="B12" s="149" t="s">
        <v>216</v>
      </c>
      <c r="C12" s="152" t="s">
        <v>59</v>
      </c>
      <c r="D12" s="148" t="s">
        <v>189</v>
      </c>
    </row>
    <row r="13" spans="1:4" ht="28">
      <c r="A13" s="145">
        <v>11</v>
      </c>
      <c r="B13" s="146" t="s">
        <v>110</v>
      </c>
      <c r="C13" s="147" t="s">
        <v>112</v>
      </c>
      <c r="D13" s="148" t="s">
        <v>189</v>
      </c>
    </row>
    <row r="14" spans="1:4" ht="56">
      <c r="A14" s="153">
        <v>12</v>
      </c>
      <c r="B14" s="154" t="s">
        <v>186</v>
      </c>
      <c r="C14" s="155" t="s">
        <v>187</v>
      </c>
      <c r="D14" s="156" t="s">
        <v>192</v>
      </c>
    </row>
    <row r="15" spans="1:4" ht="28">
      <c r="A15" s="153">
        <v>13</v>
      </c>
      <c r="B15" s="154" t="s">
        <v>196</v>
      </c>
      <c r="C15" s="155" t="s">
        <v>185</v>
      </c>
      <c r="D15" s="156" t="s">
        <v>192</v>
      </c>
    </row>
    <row r="16" spans="1:4" ht="28">
      <c r="A16" s="153">
        <v>14</v>
      </c>
      <c r="B16" s="157" t="s">
        <v>166</v>
      </c>
      <c r="C16" s="155" t="s">
        <v>167</v>
      </c>
      <c r="D16" s="156" t="s">
        <v>192</v>
      </c>
    </row>
    <row r="17" spans="1:4" ht="28">
      <c r="A17" s="153">
        <v>15</v>
      </c>
      <c r="B17" s="157" t="s">
        <v>83</v>
      </c>
      <c r="C17" s="155" t="s">
        <v>210</v>
      </c>
      <c r="D17" s="156" t="s">
        <v>192</v>
      </c>
    </row>
    <row r="18" spans="1:4" ht="28">
      <c r="A18" s="153">
        <v>16</v>
      </c>
      <c r="B18" s="158" t="s">
        <v>149</v>
      </c>
      <c r="C18" s="155" t="s">
        <v>6</v>
      </c>
      <c r="D18" s="156" t="s">
        <v>192</v>
      </c>
    </row>
    <row r="19" spans="1:4" ht="28">
      <c r="A19" s="153">
        <v>17</v>
      </c>
      <c r="B19" s="154" t="s">
        <v>150</v>
      </c>
      <c r="C19" s="155" t="s">
        <v>92</v>
      </c>
      <c r="D19" s="156" t="s">
        <v>192</v>
      </c>
    </row>
    <row r="20" spans="1:4" ht="28">
      <c r="A20" s="153">
        <v>18</v>
      </c>
      <c r="B20" s="154" t="s">
        <v>127</v>
      </c>
      <c r="C20" s="155" t="s">
        <v>94</v>
      </c>
      <c r="D20" s="156" t="s">
        <v>192</v>
      </c>
    </row>
    <row r="21" spans="1:4" ht="28">
      <c r="A21" s="153">
        <v>19</v>
      </c>
      <c r="B21" s="154" t="s">
        <v>132</v>
      </c>
      <c r="C21" s="155" t="s">
        <v>94</v>
      </c>
      <c r="D21" s="156" t="s">
        <v>192</v>
      </c>
    </row>
    <row r="22" spans="1:4" ht="28">
      <c r="A22" s="153">
        <v>20</v>
      </c>
      <c r="B22" s="154" t="s">
        <v>131</v>
      </c>
      <c r="C22" s="155" t="s">
        <v>153</v>
      </c>
      <c r="D22" s="156" t="s">
        <v>192</v>
      </c>
    </row>
    <row r="23" spans="1:4" ht="42">
      <c r="A23" s="153">
        <v>21</v>
      </c>
      <c r="B23" s="154" t="s">
        <v>135</v>
      </c>
      <c r="C23" s="155" t="s">
        <v>211</v>
      </c>
      <c r="D23" s="156" t="s">
        <v>192</v>
      </c>
    </row>
    <row r="24" spans="1:4" s="86" customFormat="1" ht="28">
      <c r="A24" s="159">
        <v>22</v>
      </c>
      <c r="B24" s="160" t="s">
        <v>161</v>
      </c>
      <c r="C24" s="161" t="s">
        <v>154</v>
      </c>
      <c r="D24" s="162" t="s">
        <v>193</v>
      </c>
    </row>
    <row r="25" spans="1:4" s="86" customFormat="1" ht="28">
      <c r="A25" s="159">
        <v>23</v>
      </c>
      <c r="B25" s="160" t="s">
        <v>202</v>
      </c>
      <c r="C25" s="161" t="s">
        <v>154</v>
      </c>
      <c r="D25" s="162" t="s">
        <v>193</v>
      </c>
    </row>
    <row r="26" spans="1:4" s="86" customFormat="1" ht="28">
      <c r="A26" s="159">
        <v>24</v>
      </c>
      <c r="B26" s="160" t="s">
        <v>163</v>
      </c>
      <c r="C26" s="161" t="s">
        <v>154</v>
      </c>
      <c r="D26" s="162" t="s">
        <v>193</v>
      </c>
    </row>
    <row r="27" spans="1:4" s="86" customFormat="1">
      <c r="A27" s="159">
        <v>25</v>
      </c>
      <c r="B27" s="160" t="s">
        <v>159</v>
      </c>
      <c r="C27" s="161" t="s">
        <v>154</v>
      </c>
      <c r="D27" s="162" t="s">
        <v>193</v>
      </c>
    </row>
    <row r="28" spans="1:4" s="86" customFormat="1" ht="28">
      <c r="A28" s="159">
        <v>26</v>
      </c>
      <c r="B28" s="160" t="s">
        <v>160</v>
      </c>
      <c r="C28" s="161" t="s">
        <v>154</v>
      </c>
      <c r="D28" s="162" t="s">
        <v>193</v>
      </c>
    </row>
    <row r="29" spans="1:4" s="86" customFormat="1" ht="28">
      <c r="A29" s="159">
        <v>27</v>
      </c>
      <c r="B29" s="160" t="s">
        <v>156</v>
      </c>
      <c r="C29" s="161" t="s">
        <v>157</v>
      </c>
      <c r="D29" s="162" t="s">
        <v>193</v>
      </c>
    </row>
    <row r="30" spans="1:4" s="86" customFormat="1" ht="28">
      <c r="A30" s="159">
        <v>28</v>
      </c>
      <c r="B30" s="160" t="s">
        <v>11</v>
      </c>
      <c r="C30" s="161" t="s">
        <v>154</v>
      </c>
      <c r="D30" s="162" t="s">
        <v>193</v>
      </c>
    </row>
    <row r="31" spans="1:4" ht="28">
      <c r="A31" s="159">
        <v>29</v>
      </c>
      <c r="B31" s="160" t="s">
        <v>67</v>
      </c>
      <c r="C31" s="161" t="s">
        <v>213</v>
      </c>
      <c r="D31" s="162" t="s">
        <v>193</v>
      </c>
    </row>
    <row r="32" spans="1:4" ht="47" customHeight="1">
      <c r="A32" s="159">
        <v>30</v>
      </c>
      <c r="B32" s="160" t="s">
        <v>45</v>
      </c>
      <c r="C32" s="163" t="s">
        <v>46</v>
      </c>
      <c r="D32" s="162" t="s">
        <v>193</v>
      </c>
    </row>
    <row r="33" spans="1:12" ht="28">
      <c r="A33" s="159">
        <v>31</v>
      </c>
      <c r="B33" s="160" t="s">
        <v>50</v>
      </c>
      <c r="C33" s="163" t="s">
        <v>51</v>
      </c>
      <c r="D33" s="162" t="s">
        <v>193</v>
      </c>
    </row>
    <row r="34" spans="1:12" ht="28">
      <c r="A34" s="164">
        <v>32</v>
      </c>
      <c r="B34" s="165" t="s">
        <v>203</v>
      </c>
      <c r="C34" s="166" t="s">
        <v>214</v>
      </c>
      <c r="D34" s="167" t="s">
        <v>195</v>
      </c>
    </row>
    <row r="35" spans="1:12" ht="28">
      <c r="A35" s="164">
        <v>33</v>
      </c>
      <c r="B35" s="168" t="s">
        <v>217</v>
      </c>
      <c r="C35" s="166" t="s">
        <v>116</v>
      </c>
      <c r="D35" s="167" t="s">
        <v>195</v>
      </c>
    </row>
    <row r="36" spans="1:12" s="133" customFormat="1" ht="28">
      <c r="A36" s="164">
        <v>34</v>
      </c>
      <c r="B36" s="165" t="s">
        <v>200</v>
      </c>
      <c r="C36" s="166" t="s">
        <v>199</v>
      </c>
      <c r="D36" s="167" t="s">
        <v>195</v>
      </c>
    </row>
    <row r="37" spans="1:12" s="133" customFormat="1">
      <c r="A37" s="164">
        <v>35</v>
      </c>
      <c r="B37" s="165" t="s">
        <v>80</v>
      </c>
      <c r="C37" s="169" t="s">
        <v>82</v>
      </c>
      <c r="D37" s="167" t="s">
        <v>195</v>
      </c>
    </row>
    <row r="38" spans="1:12" s="133" customFormat="1" ht="28">
      <c r="A38" s="164">
        <v>36</v>
      </c>
      <c r="B38" s="165" t="s">
        <v>18</v>
      </c>
      <c r="C38" s="170" t="s">
        <v>215</v>
      </c>
      <c r="D38" s="167" t="s">
        <v>195</v>
      </c>
    </row>
    <row r="39" spans="1:12" s="133" customFormat="1" ht="28.5" thickBot="1">
      <c r="A39" s="171">
        <v>37</v>
      </c>
      <c r="B39" s="172" t="s">
        <v>165</v>
      </c>
      <c r="C39" s="173" t="s">
        <v>115</v>
      </c>
      <c r="D39" s="174" t="s">
        <v>195</v>
      </c>
    </row>
    <row r="40" spans="1:12">
      <c r="F40" s="84">
        <v>12</v>
      </c>
      <c r="G40" s="84">
        <v>9440</v>
      </c>
      <c r="H40" s="135">
        <f>F40*G40</f>
        <v>113280</v>
      </c>
      <c r="I40" s="135">
        <v>221958</v>
      </c>
      <c r="J40" s="135">
        <f>SUM(H40:I40)</f>
        <v>335238</v>
      </c>
    </row>
    <row r="41" spans="1:12">
      <c r="F41" s="84">
        <v>13</v>
      </c>
      <c r="G41" s="84">
        <v>9440</v>
      </c>
      <c r="H41" s="135">
        <f>F41*G41</f>
        <v>122720</v>
      </c>
      <c r="I41" s="135">
        <v>221958</v>
      </c>
      <c r="J41" s="135">
        <f>SUM(H41:I41)</f>
        <v>344678</v>
      </c>
      <c r="L41" s="135">
        <f>350000-J41</f>
        <v>5322</v>
      </c>
    </row>
    <row r="42" spans="1:12">
      <c r="F42" s="84">
        <v>14</v>
      </c>
      <c r="G42" s="84">
        <v>9440</v>
      </c>
      <c r="H42" s="135">
        <f>F42*G42</f>
        <v>132160</v>
      </c>
      <c r="I42" s="135">
        <v>221958</v>
      </c>
      <c r="J42" s="135">
        <f>SUM(H42:I42)</f>
        <v>354118</v>
      </c>
    </row>
    <row r="43" spans="1:12">
      <c r="F43" s="84">
        <v>10</v>
      </c>
      <c r="G43" s="84">
        <v>9440</v>
      </c>
      <c r="H43" s="135">
        <f>F43*G43</f>
        <v>94400</v>
      </c>
      <c r="I43" s="135">
        <v>221958</v>
      </c>
      <c r="J43" s="135">
        <f>SUM(H43:I43)</f>
        <v>316358</v>
      </c>
    </row>
    <row r="49" spans="3:7" ht="14.5">
      <c r="C49" s="177">
        <v>10</v>
      </c>
      <c r="D49" s="176">
        <v>7080</v>
      </c>
      <c r="E49" s="84">
        <f>C49*D49</f>
        <v>70800</v>
      </c>
      <c r="G49" s="134">
        <v>221958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A100-6DCD-4CD2-AFEE-EB3789D0F45A}">
  <dimension ref="A1:E52"/>
  <sheetViews>
    <sheetView topLeftCell="A46" zoomScale="85" zoomScaleNormal="85" workbookViewId="0">
      <selection activeCell="B56" sqref="B56"/>
    </sheetView>
  </sheetViews>
  <sheetFormatPr defaultColWidth="10.6640625" defaultRowHeight="11.5"/>
  <cols>
    <col min="1" max="1" width="3.83203125" style="83" bestFit="1" customWidth="1"/>
    <col min="2" max="2" width="48.83203125" style="82" customWidth="1"/>
    <col min="3" max="3" width="20" style="85" customWidth="1"/>
    <col min="4" max="4" width="9.1640625" style="82" bestFit="1" customWidth="1"/>
    <col min="5" max="5" width="18.83203125" style="85" customWidth="1"/>
    <col min="6" max="16384" width="10.6640625" style="82"/>
  </cols>
  <sheetData>
    <row r="1" spans="1:5" ht="12" thickBot="1">
      <c r="A1" s="81"/>
      <c r="B1" s="81"/>
      <c r="C1" s="88"/>
      <c r="D1" s="81"/>
      <c r="E1" s="88"/>
    </row>
    <row r="2" spans="1:5" s="83" customFormat="1" ht="23">
      <c r="A2" s="112" t="s">
        <v>0</v>
      </c>
      <c r="B2" s="113" t="s">
        <v>1</v>
      </c>
      <c r="C2" s="113" t="s">
        <v>98</v>
      </c>
      <c r="D2" s="113" t="s">
        <v>188</v>
      </c>
      <c r="E2" s="114" t="s">
        <v>86</v>
      </c>
    </row>
    <row r="3" spans="1:5" s="84" customFormat="1" ht="43" customHeight="1">
      <c r="A3" s="115">
        <v>1</v>
      </c>
      <c r="B3" s="92" t="s">
        <v>186</v>
      </c>
      <c r="C3" s="93" t="s">
        <v>187</v>
      </c>
      <c r="D3" s="92" t="s">
        <v>189</v>
      </c>
      <c r="E3" s="116" t="s">
        <v>99</v>
      </c>
    </row>
    <row r="4" spans="1:5" s="84" customFormat="1" ht="23">
      <c r="A4" s="115">
        <v>2</v>
      </c>
      <c r="B4" s="92" t="s">
        <v>196</v>
      </c>
      <c r="C4" s="93" t="s">
        <v>185</v>
      </c>
      <c r="D4" s="92" t="s">
        <v>189</v>
      </c>
      <c r="E4" s="116" t="s">
        <v>99</v>
      </c>
    </row>
    <row r="5" spans="1:5" s="84" customFormat="1" ht="36.5" customHeight="1">
      <c r="A5" s="115">
        <v>3</v>
      </c>
      <c r="B5" s="92" t="s">
        <v>108</v>
      </c>
      <c r="C5" s="93" t="s">
        <v>109</v>
      </c>
      <c r="D5" s="92" t="s">
        <v>189</v>
      </c>
      <c r="E5" s="116" t="s">
        <v>10</v>
      </c>
    </row>
    <row r="6" spans="1:5" s="84" customFormat="1" ht="28.5" customHeight="1">
      <c r="A6" s="115">
        <v>4</v>
      </c>
      <c r="B6" s="92" t="s">
        <v>190</v>
      </c>
      <c r="C6" s="93" t="s">
        <v>107</v>
      </c>
      <c r="D6" s="92" t="s">
        <v>189</v>
      </c>
      <c r="E6" s="116" t="s">
        <v>10</v>
      </c>
    </row>
    <row r="7" spans="1:5" ht="34.5">
      <c r="A7" s="115">
        <v>5</v>
      </c>
      <c r="B7" s="94" t="s">
        <v>8</v>
      </c>
      <c r="C7" s="95" t="s">
        <v>9</v>
      </c>
      <c r="D7" s="92" t="s">
        <v>189</v>
      </c>
      <c r="E7" s="117" t="s">
        <v>10</v>
      </c>
    </row>
    <row r="8" spans="1:5" ht="23">
      <c r="A8" s="115">
        <v>6</v>
      </c>
      <c r="B8" s="94" t="s">
        <v>117</v>
      </c>
      <c r="C8" s="96" t="s">
        <v>33</v>
      </c>
      <c r="D8" s="92" t="s">
        <v>189</v>
      </c>
      <c r="E8" s="117" t="s">
        <v>10</v>
      </c>
    </row>
    <row r="9" spans="1:5" s="84" customFormat="1" ht="41.5" customHeight="1">
      <c r="A9" s="115">
        <v>7</v>
      </c>
      <c r="B9" s="94" t="s">
        <v>31</v>
      </c>
      <c r="C9" s="95" t="s">
        <v>32</v>
      </c>
      <c r="D9" s="92" t="s">
        <v>189</v>
      </c>
      <c r="E9" s="117" t="s">
        <v>10</v>
      </c>
    </row>
    <row r="10" spans="1:5" s="84" customFormat="1" ht="23">
      <c r="A10" s="115">
        <v>8</v>
      </c>
      <c r="B10" s="94" t="s">
        <v>43</v>
      </c>
      <c r="C10" s="97" t="s">
        <v>44</v>
      </c>
      <c r="D10" s="92" t="s">
        <v>189</v>
      </c>
      <c r="E10" s="117" t="s">
        <v>42</v>
      </c>
    </row>
    <row r="11" spans="1:5" s="84" customFormat="1" ht="34.5">
      <c r="A11" s="115">
        <v>9</v>
      </c>
      <c r="B11" s="94" t="s">
        <v>40</v>
      </c>
      <c r="C11" s="97" t="s">
        <v>41</v>
      </c>
      <c r="D11" s="92" t="s">
        <v>189</v>
      </c>
      <c r="E11" s="117" t="s">
        <v>42</v>
      </c>
    </row>
    <row r="12" spans="1:5" s="84" customFormat="1" ht="23">
      <c r="A12" s="115">
        <v>10</v>
      </c>
      <c r="B12" s="94" t="s">
        <v>37</v>
      </c>
      <c r="C12" s="97" t="s">
        <v>35</v>
      </c>
      <c r="D12" s="92" t="s">
        <v>189</v>
      </c>
      <c r="E12" s="117" t="s">
        <v>38</v>
      </c>
    </row>
    <row r="13" spans="1:5" ht="69">
      <c r="A13" s="115">
        <v>11</v>
      </c>
      <c r="B13" s="94" t="s">
        <v>24</v>
      </c>
      <c r="C13" s="97" t="s">
        <v>25</v>
      </c>
      <c r="D13" s="92" t="s">
        <v>189</v>
      </c>
      <c r="E13" s="117" t="s">
        <v>113</v>
      </c>
    </row>
    <row r="14" spans="1:5" s="84" customFormat="1" ht="23">
      <c r="A14" s="115">
        <v>12</v>
      </c>
      <c r="B14" s="92" t="s">
        <v>103</v>
      </c>
      <c r="C14" s="93" t="s">
        <v>105</v>
      </c>
      <c r="D14" s="92" t="s">
        <v>189</v>
      </c>
      <c r="E14" s="116" t="s">
        <v>104</v>
      </c>
    </row>
    <row r="15" spans="1:5" s="84" customFormat="1" ht="23">
      <c r="A15" s="115">
        <v>13</v>
      </c>
      <c r="B15" s="94" t="s">
        <v>64</v>
      </c>
      <c r="C15" s="96" t="s">
        <v>65</v>
      </c>
      <c r="D15" s="92" t="s">
        <v>189</v>
      </c>
      <c r="E15" s="117" t="s">
        <v>66</v>
      </c>
    </row>
    <row r="16" spans="1:5" s="84" customFormat="1" ht="23">
      <c r="A16" s="115">
        <v>14</v>
      </c>
      <c r="B16" s="94" t="s">
        <v>61</v>
      </c>
      <c r="C16" s="97" t="s">
        <v>62</v>
      </c>
      <c r="D16" s="92" t="s">
        <v>189</v>
      </c>
      <c r="E16" s="117" t="s">
        <v>63</v>
      </c>
    </row>
    <row r="17" spans="1:5" s="84" customFormat="1" ht="23">
      <c r="A17" s="115">
        <v>15</v>
      </c>
      <c r="B17" s="94" t="s">
        <v>58</v>
      </c>
      <c r="C17" s="97" t="s">
        <v>59</v>
      </c>
      <c r="D17" s="92" t="s">
        <v>189</v>
      </c>
      <c r="E17" s="117" t="s">
        <v>60</v>
      </c>
    </row>
    <row r="18" spans="1:5" ht="23">
      <c r="A18" s="115">
        <v>16</v>
      </c>
      <c r="B18" s="92" t="s">
        <v>110</v>
      </c>
      <c r="C18" s="93" t="s">
        <v>112</v>
      </c>
      <c r="D18" s="92" t="s">
        <v>189</v>
      </c>
      <c r="E18" s="116" t="s">
        <v>111</v>
      </c>
    </row>
    <row r="19" spans="1:5" s="84" customFormat="1">
      <c r="A19" s="118">
        <v>17</v>
      </c>
      <c r="B19" s="98" t="s">
        <v>166</v>
      </c>
      <c r="C19" s="99" t="s">
        <v>167</v>
      </c>
      <c r="D19" s="100" t="s">
        <v>192</v>
      </c>
      <c r="E19" s="119" t="s">
        <v>168</v>
      </c>
    </row>
    <row r="20" spans="1:5" ht="23">
      <c r="A20" s="118">
        <v>18</v>
      </c>
      <c r="B20" s="98" t="s">
        <v>83</v>
      </c>
      <c r="C20" s="99" t="s">
        <v>201</v>
      </c>
      <c r="D20" s="100" t="s">
        <v>192</v>
      </c>
      <c r="E20" s="119" t="s">
        <v>206</v>
      </c>
    </row>
    <row r="21" spans="1:5" ht="23">
      <c r="A21" s="118">
        <v>19</v>
      </c>
      <c r="B21" s="101" t="s">
        <v>149</v>
      </c>
      <c r="C21" s="99" t="s">
        <v>6</v>
      </c>
      <c r="D21" s="100" t="s">
        <v>192</v>
      </c>
      <c r="E21" s="120" t="s">
        <v>206</v>
      </c>
    </row>
    <row r="22" spans="1:5" ht="15" customHeight="1">
      <c r="A22" s="118">
        <v>20</v>
      </c>
      <c r="B22" s="100" t="s">
        <v>150</v>
      </c>
      <c r="C22" s="99" t="s">
        <v>92</v>
      </c>
      <c r="D22" s="100" t="s">
        <v>192</v>
      </c>
      <c r="E22" s="120" t="s">
        <v>207</v>
      </c>
    </row>
    <row r="23" spans="1:5" ht="24.5" customHeight="1">
      <c r="A23" s="118">
        <v>21</v>
      </c>
      <c r="B23" s="100" t="s">
        <v>93</v>
      </c>
      <c r="C23" s="99" t="s">
        <v>204</v>
      </c>
      <c r="D23" s="100" t="s">
        <v>192</v>
      </c>
      <c r="E23" s="120" t="s">
        <v>207</v>
      </c>
    </row>
    <row r="24" spans="1:5" ht="15" customHeight="1">
      <c r="A24" s="118">
        <v>22</v>
      </c>
      <c r="B24" s="100" t="s">
        <v>97</v>
      </c>
      <c r="C24" s="99" t="s">
        <v>94</v>
      </c>
      <c r="D24" s="100" t="s">
        <v>192</v>
      </c>
      <c r="E24" s="120" t="s">
        <v>207</v>
      </c>
    </row>
    <row r="25" spans="1:5" s="84" customFormat="1" ht="15" customHeight="1">
      <c r="A25" s="118">
        <v>23</v>
      </c>
      <c r="B25" s="100" t="s">
        <v>122</v>
      </c>
      <c r="C25" s="99" t="s">
        <v>116</v>
      </c>
      <c r="D25" s="100" t="s">
        <v>192</v>
      </c>
      <c r="E25" s="120" t="s">
        <v>207</v>
      </c>
    </row>
    <row r="26" spans="1:5" s="84" customFormat="1" ht="15" customHeight="1">
      <c r="A26" s="118">
        <v>24</v>
      </c>
      <c r="B26" s="99" t="s">
        <v>124</v>
      </c>
      <c r="C26" s="99" t="s">
        <v>94</v>
      </c>
      <c r="D26" s="100" t="s">
        <v>192</v>
      </c>
      <c r="E26" s="120" t="s">
        <v>207</v>
      </c>
    </row>
    <row r="27" spans="1:5" s="84" customFormat="1" ht="15" customHeight="1">
      <c r="A27" s="118">
        <v>25</v>
      </c>
      <c r="B27" s="100" t="s">
        <v>127</v>
      </c>
      <c r="C27" s="99" t="s">
        <v>94</v>
      </c>
      <c r="D27" s="100" t="s">
        <v>192</v>
      </c>
      <c r="E27" s="120" t="s">
        <v>207</v>
      </c>
    </row>
    <row r="28" spans="1:5" s="84" customFormat="1" ht="15" customHeight="1">
      <c r="A28" s="118">
        <v>26</v>
      </c>
      <c r="B28" s="100" t="s">
        <v>129</v>
      </c>
      <c r="C28" s="99" t="s">
        <v>151</v>
      </c>
      <c r="D28" s="100" t="s">
        <v>192</v>
      </c>
      <c r="E28" s="120" t="s">
        <v>207</v>
      </c>
    </row>
    <row r="29" spans="1:5" s="84" customFormat="1" ht="15" customHeight="1">
      <c r="A29" s="118">
        <v>27</v>
      </c>
      <c r="B29" s="100" t="s">
        <v>132</v>
      </c>
      <c r="C29" s="99" t="s">
        <v>94</v>
      </c>
      <c r="D29" s="100" t="s">
        <v>192</v>
      </c>
      <c r="E29" s="120" t="s">
        <v>207</v>
      </c>
    </row>
    <row r="30" spans="1:5" s="84" customFormat="1" ht="15" customHeight="1">
      <c r="A30" s="118">
        <v>28</v>
      </c>
      <c r="B30" s="100" t="s">
        <v>131</v>
      </c>
      <c r="C30" s="99" t="s">
        <v>153</v>
      </c>
      <c r="D30" s="100" t="s">
        <v>192</v>
      </c>
      <c r="E30" s="120" t="s">
        <v>207</v>
      </c>
    </row>
    <row r="31" spans="1:5" s="84" customFormat="1" ht="15" customHeight="1">
      <c r="A31" s="118">
        <v>29</v>
      </c>
      <c r="B31" s="100" t="s">
        <v>133</v>
      </c>
      <c r="C31" s="99" t="s">
        <v>198</v>
      </c>
      <c r="D31" s="100" t="s">
        <v>192</v>
      </c>
      <c r="E31" s="120" t="s">
        <v>207</v>
      </c>
    </row>
    <row r="32" spans="1:5" s="84" customFormat="1" ht="23">
      <c r="A32" s="118">
        <v>30</v>
      </c>
      <c r="B32" s="100" t="s">
        <v>134</v>
      </c>
      <c r="C32" s="99" t="s">
        <v>139</v>
      </c>
      <c r="D32" s="100" t="s">
        <v>192</v>
      </c>
      <c r="E32" s="120" t="s">
        <v>207</v>
      </c>
    </row>
    <row r="33" spans="1:5" s="84" customFormat="1" ht="23">
      <c r="A33" s="118">
        <v>31</v>
      </c>
      <c r="B33" s="100" t="s">
        <v>135</v>
      </c>
      <c r="C33" s="99" t="s">
        <v>140</v>
      </c>
      <c r="D33" s="100" t="s">
        <v>192</v>
      </c>
      <c r="E33" s="120" t="s">
        <v>207</v>
      </c>
    </row>
    <row r="34" spans="1:5" s="86" customFormat="1">
      <c r="A34" s="121">
        <v>32</v>
      </c>
      <c r="B34" s="102" t="s">
        <v>161</v>
      </c>
      <c r="C34" s="103" t="s">
        <v>154</v>
      </c>
      <c r="D34" s="103" t="s">
        <v>193</v>
      </c>
      <c r="E34" s="122" t="s">
        <v>155</v>
      </c>
    </row>
    <row r="35" spans="1:5" s="86" customFormat="1" ht="23">
      <c r="A35" s="121">
        <v>33</v>
      </c>
      <c r="B35" s="102" t="s">
        <v>202</v>
      </c>
      <c r="C35" s="103" t="s">
        <v>154</v>
      </c>
      <c r="D35" s="103" t="s">
        <v>193</v>
      </c>
      <c r="E35" s="122" t="s">
        <v>155</v>
      </c>
    </row>
    <row r="36" spans="1:5" s="86" customFormat="1" ht="23">
      <c r="A36" s="121">
        <v>34</v>
      </c>
      <c r="B36" s="102" t="s">
        <v>163</v>
      </c>
      <c r="C36" s="103" t="s">
        <v>154</v>
      </c>
      <c r="D36" s="103" t="s">
        <v>193</v>
      </c>
      <c r="E36" s="122" t="s">
        <v>155</v>
      </c>
    </row>
    <row r="37" spans="1:5" s="86" customFormat="1">
      <c r="A37" s="121">
        <v>35</v>
      </c>
      <c r="B37" s="102" t="s">
        <v>159</v>
      </c>
      <c r="C37" s="103" t="s">
        <v>154</v>
      </c>
      <c r="D37" s="103" t="s">
        <v>193</v>
      </c>
      <c r="E37" s="122" t="s">
        <v>155</v>
      </c>
    </row>
    <row r="38" spans="1:5" s="86" customFormat="1">
      <c r="A38" s="121">
        <v>36</v>
      </c>
      <c r="B38" s="102" t="s">
        <v>184</v>
      </c>
      <c r="C38" s="103" t="s">
        <v>154</v>
      </c>
      <c r="D38" s="103" t="s">
        <v>193</v>
      </c>
      <c r="E38" s="122" t="s">
        <v>155</v>
      </c>
    </row>
    <row r="39" spans="1:5" s="86" customFormat="1">
      <c r="A39" s="121">
        <v>37</v>
      </c>
      <c r="B39" s="102" t="s">
        <v>160</v>
      </c>
      <c r="C39" s="103" t="s">
        <v>154</v>
      </c>
      <c r="D39" s="103" t="s">
        <v>193</v>
      </c>
      <c r="E39" s="122" t="s">
        <v>155</v>
      </c>
    </row>
    <row r="40" spans="1:5" s="86" customFormat="1" ht="23">
      <c r="A40" s="121">
        <v>38</v>
      </c>
      <c r="B40" s="102" t="s">
        <v>156</v>
      </c>
      <c r="C40" s="103" t="s">
        <v>157</v>
      </c>
      <c r="D40" s="103" t="s">
        <v>193</v>
      </c>
      <c r="E40" s="122" t="s">
        <v>155</v>
      </c>
    </row>
    <row r="41" spans="1:5" s="86" customFormat="1" ht="23">
      <c r="A41" s="121">
        <v>39</v>
      </c>
      <c r="B41" s="102" t="s">
        <v>11</v>
      </c>
      <c r="C41" s="103" t="s">
        <v>154</v>
      </c>
      <c r="D41" s="103" t="s">
        <v>193</v>
      </c>
      <c r="E41" s="122" t="s">
        <v>12</v>
      </c>
    </row>
    <row r="42" spans="1:5" ht="39.5" customHeight="1">
      <c r="A42" s="121">
        <v>40</v>
      </c>
      <c r="B42" s="102" t="s">
        <v>67</v>
      </c>
      <c r="C42" s="103" t="s">
        <v>197</v>
      </c>
      <c r="D42" s="103" t="s">
        <v>193</v>
      </c>
      <c r="E42" s="122" t="s">
        <v>205</v>
      </c>
    </row>
    <row r="43" spans="1:5" s="84" customFormat="1" ht="34.5">
      <c r="A43" s="121">
        <v>41</v>
      </c>
      <c r="B43" s="102" t="s">
        <v>45</v>
      </c>
      <c r="C43" s="104" t="s">
        <v>46</v>
      </c>
      <c r="D43" s="103" t="s">
        <v>193</v>
      </c>
      <c r="E43" s="123" t="s">
        <v>47</v>
      </c>
    </row>
    <row r="44" spans="1:5" s="84" customFormat="1" ht="23">
      <c r="A44" s="121">
        <v>42</v>
      </c>
      <c r="B44" s="102" t="s">
        <v>50</v>
      </c>
      <c r="C44" s="104" t="s">
        <v>51</v>
      </c>
      <c r="D44" s="103" t="s">
        <v>193</v>
      </c>
      <c r="E44" s="123" t="s">
        <v>47</v>
      </c>
    </row>
    <row r="45" spans="1:5" s="84" customFormat="1" ht="23">
      <c r="A45" s="124">
        <v>43</v>
      </c>
      <c r="B45" s="105" t="s">
        <v>203</v>
      </c>
      <c r="C45" s="106" t="s">
        <v>171</v>
      </c>
      <c r="D45" s="107" t="s">
        <v>195</v>
      </c>
      <c r="E45" s="125" t="s">
        <v>170</v>
      </c>
    </row>
    <row r="46" spans="1:5" ht="23.5" customHeight="1">
      <c r="A46" s="124">
        <v>44</v>
      </c>
      <c r="B46" s="109" t="s">
        <v>175</v>
      </c>
      <c r="C46" s="106" t="s">
        <v>116</v>
      </c>
      <c r="D46" s="107" t="s">
        <v>195</v>
      </c>
      <c r="E46" s="126" t="s">
        <v>176</v>
      </c>
    </row>
    <row r="47" spans="1:5" s="91" customFormat="1" ht="23">
      <c r="A47" s="124">
        <v>45</v>
      </c>
      <c r="B47" s="105" t="s">
        <v>200</v>
      </c>
      <c r="C47" s="106" t="s">
        <v>199</v>
      </c>
      <c r="D47" s="107" t="s">
        <v>195</v>
      </c>
      <c r="E47" s="125" t="s">
        <v>17</v>
      </c>
    </row>
    <row r="48" spans="1:5" s="91" customFormat="1" ht="23">
      <c r="A48" s="124">
        <v>46</v>
      </c>
      <c r="B48" s="105" t="s">
        <v>80</v>
      </c>
      <c r="C48" s="110" t="s">
        <v>82</v>
      </c>
      <c r="D48" s="107" t="s">
        <v>195</v>
      </c>
      <c r="E48" s="125" t="s">
        <v>81</v>
      </c>
    </row>
    <row r="49" spans="1:5" s="91" customFormat="1" ht="23">
      <c r="A49" s="124">
        <v>47</v>
      </c>
      <c r="B49" s="105" t="s">
        <v>18</v>
      </c>
      <c r="C49" s="111" t="s">
        <v>19</v>
      </c>
      <c r="D49" s="107" t="s">
        <v>195</v>
      </c>
      <c r="E49" s="125" t="s">
        <v>17</v>
      </c>
    </row>
    <row r="50" spans="1:5" s="91" customFormat="1" ht="23">
      <c r="A50" s="124">
        <v>48</v>
      </c>
      <c r="B50" s="105" t="s">
        <v>15</v>
      </c>
      <c r="C50" s="111" t="s">
        <v>16</v>
      </c>
      <c r="D50" s="107" t="s">
        <v>195</v>
      </c>
      <c r="E50" s="125" t="s">
        <v>17</v>
      </c>
    </row>
    <row r="51" spans="1:5" s="91" customFormat="1" ht="23">
      <c r="A51" s="124">
        <v>49</v>
      </c>
      <c r="B51" s="105" t="s">
        <v>164</v>
      </c>
      <c r="C51" s="108" t="s">
        <v>39</v>
      </c>
      <c r="D51" s="107" t="s">
        <v>195</v>
      </c>
      <c r="E51" s="125" t="s">
        <v>17</v>
      </c>
    </row>
    <row r="52" spans="1:5" s="91" customFormat="1" ht="23.5" thickBot="1">
      <c r="A52" s="127">
        <v>50</v>
      </c>
      <c r="B52" s="128" t="s">
        <v>165</v>
      </c>
      <c r="C52" s="129" t="s">
        <v>115</v>
      </c>
      <c r="D52" s="130" t="s">
        <v>195</v>
      </c>
      <c r="E52" s="131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2B1A-6D25-4BF4-B7B0-695D9E378DF3}">
  <dimension ref="A1:E81"/>
  <sheetViews>
    <sheetView topLeftCell="A28" zoomScale="85" zoomScaleNormal="85" workbookViewId="0">
      <selection activeCell="B39" sqref="B39"/>
    </sheetView>
  </sheetViews>
  <sheetFormatPr defaultColWidth="10.6640625" defaultRowHeight="11.5"/>
  <cols>
    <col min="1" max="1" width="3.83203125" style="83" bestFit="1" customWidth="1"/>
    <col min="2" max="2" width="48.83203125" style="82" customWidth="1"/>
    <col min="3" max="3" width="20" style="82" customWidth="1"/>
    <col min="4" max="4" width="9.1640625" style="82" bestFit="1" customWidth="1"/>
    <col min="5" max="5" width="18.83203125" style="85" customWidth="1"/>
    <col min="6" max="16384" width="10.6640625" style="82"/>
  </cols>
  <sheetData>
    <row r="1" spans="1:5">
      <c r="A1" s="81"/>
      <c r="B1" s="81"/>
      <c r="C1" s="81"/>
      <c r="D1" s="81"/>
      <c r="E1" s="88"/>
    </row>
    <row r="2" spans="1:5" s="83" customFormat="1" ht="23">
      <c r="A2" s="59" t="s">
        <v>0</v>
      </c>
      <c r="B2" s="59" t="s">
        <v>1</v>
      </c>
      <c r="C2" s="59" t="s">
        <v>98</v>
      </c>
      <c r="D2" s="59" t="s">
        <v>188</v>
      </c>
      <c r="E2" s="59" t="s">
        <v>86</v>
      </c>
    </row>
    <row r="3" spans="1:5" s="84" customFormat="1" ht="46">
      <c r="A3" s="60">
        <v>1</v>
      </c>
      <c r="B3" s="61" t="s">
        <v>186</v>
      </c>
      <c r="C3" s="61" t="s">
        <v>187</v>
      </c>
      <c r="D3" s="61" t="s">
        <v>189</v>
      </c>
      <c r="E3" s="73" t="s">
        <v>99</v>
      </c>
    </row>
    <row r="4" spans="1:5" s="84" customFormat="1" ht="23">
      <c r="A4" s="60">
        <v>2</v>
      </c>
      <c r="B4" s="61" t="s">
        <v>196</v>
      </c>
      <c r="C4" s="61" t="s">
        <v>185</v>
      </c>
      <c r="D4" s="61" t="s">
        <v>189</v>
      </c>
      <c r="E4" s="73" t="s">
        <v>99</v>
      </c>
    </row>
    <row r="5" spans="1:5" s="84" customFormat="1" ht="36.5" customHeight="1">
      <c r="A5" s="60">
        <v>3</v>
      </c>
      <c r="B5" s="61" t="s">
        <v>108</v>
      </c>
      <c r="C5" s="61" t="s">
        <v>109</v>
      </c>
      <c r="D5" s="61" t="s">
        <v>189</v>
      </c>
      <c r="E5" s="73" t="s">
        <v>10</v>
      </c>
    </row>
    <row r="6" spans="1:5" s="84" customFormat="1" ht="23">
      <c r="A6" s="60">
        <v>4</v>
      </c>
      <c r="B6" s="61" t="s">
        <v>190</v>
      </c>
      <c r="C6" s="61" t="s">
        <v>107</v>
      </c>
      <c r="D6" s="61" t="s">
        <v>189</v>
      </c>
      <c r="E6" s="73" t="s">
        <v>10</v>
      </c>
    </row>
    <row r="7" spans="1:5" s="84" customFormat="1" ht="23">
      <c r="A7" s="60">
        <v>5</v>
      </c>
      <c r="B7" s="62" t="s">
        <v>191</v>
      </c>
      <c r="C7" s="63" t="s">
        <v>14</v>
      </c>
      <c r="D7" s="61" t="s">
        <v>189</v>
      </c>
      <c r="E7" s="89" t="s">
        <v>10</v>
      </c>
    </row>
    <row r="8" spans="1:5" ht="34.5">
      <c r="A8" s="60">
        <v>6</v>
      </c>
      <c r="B8" s="64" t="s">
        <v>8</v>
      </c>
      <c r="C8" s="65" t="s">
        <v>9</v>
      </c>
      <c r="D8" s="61" t="s">
        <v>189</v>
      </c>
      <c r="E8" s="74" t="s">
        <v>10</v>
      </c>
    </row>
    <row r="9" spans="1:5" ht="23">
      <c r="A9" s="60">
        <v>7</v>
      </c>
      <c r="B9" s="64" t="s">
        <v>117</v>
      </c>
      <c r="C9" s="66" t="s">
        <v>33</v>
      </c>
      <c r="D9" s="61" t="s">
        <v>189</v>
      </c>
      <c r="E9" s="74" t="s">
        <v>10</v>
      </c>
    </row>
    <row r="10" spans="1:5" s="84" customFormat="1" ht="41.5" customHeight="1">
      <c r="A10" s="60">
        <v>8</v>
      </c>
      <c r="B10" s="62" t="s">
        <v>31</v>
      </c>
      <c r="C10" s="63" t="s">
        <v>32</v>
      </c>
      <c r="D10" s="61" t="s">
        <v>189</v>
      </c>
      <c r="E10" s="89" t="s">
        <v>10</v>
      </c>
    </row>
    <row r="11" spans="1:5" s="84" customFormat="1" ht="69">
      <c r="A11" s="60">
        <v>9</v>
      </c>
      <c r="B11" s="62" t="s">
        <v>182</v>
      </c>
      <c r="C11" s="61" t="s">
        <v>76</v>
      </c>
      <c r="D11" s="61" t="s">
        <v>189</v>
      </c>
      <c r="E11" s="89" t="s">
        <v>183</v>
      </c>
    </row>
    <row r="12" spans="1:5" s="84" customFormat="1" ht="23">
      <c r="A12" s="60">
        <v>10</v>
      </c>
      <c r="B12" s="62" t="s">
        <v>43</v>
      </c>
      <c r="C12" s="67" t="s">
        <v>44</v>
      </c>
      <c r="D12" s="61" t="s">
        <v>189</v>
      </c>
      <c r="E12" s="89" t="s">
        <v>42</v>
      </c>
    </row>
    <row r="13" spans="1:5" s="84" customFormat="1" ht="34.5">
      <c r="A13" s="60">
        <v>11</v>
      </c>
      <c r="B13" s="62" t="s">
        <v>40</v>
      </c>
      <c r="C13" s="67" t="s">
        <v>41</v>
      </c>
      <c r="D13" s="61" t="s">
        <v>189</v>
      </c>
      <c r="E13" s="89" t="s">
        <v>42</v>
      </c>
    </row>
    <row r="14" spans="1:5" s="84" customFormat="1" ht="23">
      <c r="A14" s="60">
        <v>12</v>
      </c>
      <c r="B14" s="62" t="s">
        <v>37</v>
      </c>
      <c r="C14" s="67" t="s">
        <v>35</v>
      </c>
      <c r="D14" s="61" t="s">
        <v>189</v>
      </c>
      <c r="E14" s="89" t="s">
        <v>38</v>
      </c>
    </row>
    <row r="15" spans="1:5" ht="23">
      <c r="A15" s="60">
        <v>13</v>
      </c>
      <c r="B15" s="64" t="s">
        <v>34</v>
      </c>
      <c r="C15" s="68" t="s">
        <v>35</v>
      </c>
      <c r="D15" s="61" t="s">
        <v>189</v>
      </c>
      <c r="E15" s="74" t="s">
        <v>36</v>
      </c>
    </row>
    <row r="16" spans="1:5" ht="69">
      <c r="A16" s="60">
        <v>14</v>
      </c>
      <c r="B16" s="64" t="s">
        <v>24</v>
      </c>
      <c r="C16" s="68" t="s">
        <v>25</v>
      </c>
      <c r="D16" s="61" t="s">
        <v>189</v>
      </c>
      <c r="E16" s="74" t="s">
        <v>113</v>
      </c>
    </row>
    <row r="17" spans="1:5" s="84" customFormat="1" ht="23">
      <c r="A17" s="60">
        <v>15</v>
      </c>
      <c r="B17" s="61" t="s">
        <v>103</v>
      </c>
      <c r="C17" s="61" t="s">
        <v>105</v>
      </c>
      <c r="D17" s="61" t="s">
        <v>189</v>
      </c>
      <c r="E17" s="73" t="s">
        <v>104</v>
      </c>
    </row>
    <row r="18" spans="1:5">
      <c r="A18" s="60">
        <v>16</v>
      </c>
      <c r="B18" s="64" t="s">
        <v>48</v>
      </c>
      <c r="C18" s="68"/>
      <c r="D18" s="61" t="s">
        <v>189</v>
      </c>
      <c r="E18" s="74" t="s">
        <v>49</v>
      </c>
    </row>
    <row r="19" spans="1:5" s="84" customFormat="1" ht="34.5">
      <c r="A19" s="60">
        <v>17</v>
      </c>
      <c r="B19" s="62" t="s">
        <v>52</v>
      </c>
      <c r="C19" s="69" t="s">
        <v>53</v>
      </c>
      <c r="D19" s="61" t="s">
        <v>189</v>
      </c>
      <c r="E19" s="89" t="s">
        <v>54</v>
      </c>
    </row>
    <row r="20" spans="1:5" s="84" customFormat="1" ht="23">
      <c r="A20" s="60">
        <v>18</v>
      </c>
      <c r="B20" s="62" t="s">
        <v>64</v>
      </c>
      <c r="C20" s="69" t="s">
        <v>65</v>
      </c>
      <c r="D20" s="61" t="s">
        <v>189</v>
      </c>
      <c r="E20" s="89" t="s">
        <v>66</v>
      </c>
    </row>
    <row r="21" spans="1:5" s="84" customFormat="1" ht="23">
      <c r="A21" s="60">
        <v>19</v>
      </c>
      <c r="B21" s="62" t="s">
        <v>61</v>
      </c>
      <c r="C21" s="67" t="s">
        <v>62</v>
      </c>
      <c r="D21" s="61" t="s">
        <v>189</v>
      </c>
      <c r="E21" s="89" t="s">
        <v>63</v>
      </c>
    </row>
    <row r="22" spans="1:5" s="84" customFormat="1" ht="23">
      <c r="A22" s="60">
        <v>20</v>
      </c>
      <c r="B22" s="62" t="s">
        <v>58</v>
      </c>
      <c r="C22" s="67" t="s">
        <v>59</v>
      </c>
      <c r="D22" s="61" t="s">
        <v>189</v>
      </c>
      <c r="E22" s="89" t="s">
        <v>60</v>
      </c>
    </row>
    <row r="23" spans="1:5" ht="23">
      <c r="A23" s="60">
        <v>21</v>
      </c>
      <c r="B23" s="70" t="s">
        <v>110</v>
      </c>
      <c r="C23" s="70" t="s">
        <v>112</v>
      </c>
      <c r="D23" s="61" t="s">
        <v>189</v>
      </c>
      <c r="E23" s="72" t="s">
        <v>111</v>
      </c>
    </row>
    <row r="24" spans="1:5" ht="34.5">
      <c r="A24" s="60">
        <v>22</v>
      </c>
      <c r="B24" s="70" t="s">
        <v>100</v>
      </c>
      <c r="C24" s="70" t="s">
        <v>102</v>
      </c>
      <c r="D24" s="61" t="s">
        <v>189</v>
      </c>
      <c r="E24" s="72" t="s">
        <v>101</v>
      </c>
    </row>
    <row r="25" spans="1:5" s="84" customFormat="1">
      <c r="A25" s="60">
        <v>23</v>
      </c>
      <c r="B25" s="62" t="s">
        <v>166</v>
      </c>
      <c r="C25" s="70" t="s">
        <v>167</v>
      </c>
      <c r="D25" s="61" t="s">
        <v>192</v>
      </c>
      <c r="E25" s="74" t="s">
        <v>168</v>
      </c>
    </row>
    <row r="26" spans="1:5" s="84" customFormat="1" ht="34.5">
      <c r="A26" s="60">
        <v>24</v>
      </c>
      <c r="B26" s="62" t="s">
        <v>169</v>
      </c>
      <c r="C26" s="70" t="s">
        <v>171</v>
      </c>
      <c r="D26" s="61" t="s">
        <v>192</v>
      </c>
      <c r="E26" s="74" t="s">
        <v>170</v>
      </c>
    </row>
    <row r="27" spans="1:5" ht="57.5">
      <c r="A27" s="60">
        <v>25</v>
      </c>
      <c r="B27" s="62" t="s">
        <v>83</v>
      </c>
      <c r="C27" s="70" t="s">
        <v>84</v>
      </c>
      <c r="D27" s="61" t="s">
        <v>192</v>
      </c>
      <c r="E27" s="74" t="s">
        <v>7</v>
      </c>
    </row>
    <row r="28" spans="1:5" ht="23">
      <c r="A28" s="60">
        <v>26</v>
      </c>
      <c r="B28" s="71" t="s">
        <v>149</v>
      </c>
      <c r="C28" s="72" t="s">
        <v>6</v>
      </c>
      <c r="D28" s="61" t="s">
        <v>192</v>
      </c>
      <c r="E28" s="72" t="s">
        <v>7</v>
      </c>
    </row>
    <row r="29" spans="1:5" ht="23">
      <c r="A29" s="60">
        <v>27</v>
      </c>
      <c r="B29" s="70" t="s">
        <v>150</v>
      </c>
      <c r="C29" s="70" t="s">
        <v>92</v>
      </c>
      <c r="D29" s="61" t="s">
        <v>192</v>
      </c>
      <c r="E29" s="72" t="s">
        <v>91</v>
      </c>
    </row>
    <row r="30" spans="1:5" ht="34.5">
      <c r="A30" s="60">
        <v>28</v>
      </c>
      <c r="B30" s="70" t="s">
        <v>93</v>
      </c>
      <c r="C30" s="70" t="s">
        <v>96</v>
      </c>
      <c r="D30" s="61" t="s">
        <v>192</v>
      </c>
      <c r="E30" s="72" t="s">
        <v>91</v>
      </c>
    </row>
    <row r="31" spans="1:5" ht="23">
      <c r="A31" s="60">
        <v>29</v>
      </c>
      <c r="B31" s="70" t="s">
        <v>97</v>
      </c>
      <c r="C31" s="70" t="s">
        <v>94</v>
      </c>
      <c r="D31" s="61" t="s">
        <v>192</v>
      </c>
      <c r="E31" s="72" t="s">
        <v>91</v>
      </c>
    </row>
    <row r="32" spans="1:5" ht="23">
      <c r="A32" s="60">
        <v>30</v>
      </c>
      <c r="B32" s="70" t="s">
        <v>95</v>
      </c>
      <c r="C32" s="70"/>
      <c r="D32" s="61" t="s">
        <v>192</v>
      </c>
      <c r="E32" s="72" t="s">
        <v>91</v>
      </c>
    </row>
    <row r="33" spans="1:5" s="84" customFormat="1" ht="23">
      <c r="A33" s="60">
        <v>31</v>
      </c>
      <c r="B33" s="61" t="s">
        <v>118</v>
      </c>
      <c r="C33" s="61" t="s">
        <v>144</v>
      </c>
      <c r="D33" s="61" t="s">
        <v>192</v>
      </c>
      <c r="E33" s="73" t="s">
        <v>91</v>
      </c>
    </row>
    <row r="34" spans="1:5" s="84" customFormat="1" ht="23">
      <c r="A34" s="60">
        <v>32</v>
      </c>
      <c r="B34" s="61" t="s">
        <v>119</v>
      </c>
      <c r="C34" s="61" t="s">
        <v>145</v>
      </c>
      <c r="D34" s="61" t="s">
        <v>192</v>
      </c>
      <c r="E34" s="73" t="s">
        <v>91</v>
      </c>
    </row>
    <row r="35" spans="1:5" s="84" customFormat="1" ht="23">
      <c r="A35" s="60">
        <v>33</v>
      </c>
      <c r="B35" s="61" t="s">
        <v>120</v>
      </c>
      <c r="C35" s="61" t="s">
        <v>146</v>
      </c>
      <c r="D35" s="61" t="s">
        <v>192</v>
      </c>
      <c r="E35" s="73" t="s">
        <v>91</v>
      </c>
    </row>
    <row r="36" spans="1:5" s="84" customFormat="1" ht="23">
      <c r="A36" s="60">
        <v>34</v>
      </c>
      <c r="B36" s="61" t="s">
        <v>121</v>
      </c>
      <c r="C36" s="61" t="s">
        <v>147</v>
      </c>
      <c r="D36" s="61" t="s">
        <v>192</v>
      </c>
      <c r="E36" s="73" t="s">
        <v>91</v>
      </c>
    </row>
    <row r="37" spans="1:5" s="84" customFormat="1" ht="23">
      <c r="A37" s="60">
        <v>35</v>
      </c>
      <c r="B37" s="61" t="s">
        <v>122</v>
      </c>
      <c r="C37" s="61" t="s">
        <v>116</v>
      </c>
      <c r="D37" s="61" t="s">
        <v>192</v>
      </c>
      <c r="E37" s="73" t="s">
        <v>91</v>
      </c>
    </row>
    <row r="38" spans="1:5" s="84" customFormat="1" ht="23">
      <c r="A38" s="60">
        <v>36</v>
      </c>
      <c r="B38" s="73" t="s">
        <v>124</v>
      </c>
      <c r="C38" s="61" t="s">
        <v>94</v>
      </c>
      <c r="D38" s="61" t="s">
        <v>192</v>
      </c>
      <c r="E38" s="73" t="s">
        <v>91</v>
      </c>
    </row>
    <row r="39" spans="1:5" s="84" customFormat="1" ht="23">
      <c r="A39" s="60">
        <v>37</v>
      </c>
      <c r="B39" s="61" t="s">
        <v>125</v>
      </c>
      <c r="C39" s="61" t="s">
        <v>114</v>
      </c>
      <c r="D39" s="61" t="s">
        <v>192</v>
      </c>
      <c r="E39" s="73" t="s">
        <v>91</v>
      </c>
    </row>
    <row r="40" spans="1:5" s="84" customFormat="1" ht="23">
      <c r="A40" s="60">
        <v>38</v>
      </c>
      <c r="B40" s="61" t="s">
        <v>126</v>
      </c>
      <c r="C40" s="61"/>
      <c r="D40" s="61" t="s">
        <v>192</v>
      </c>
      <c r="E40" s="73" t="s">
        <v>91</v>
      </c>
    </row>
    <row r="41" spans="1:5" s="84" customFormat="1" ht="23">
      <c r="A41" s="60">
        <v>39</v>
      </c>
      <c r="B41" s="61" t="s">
        <v>127</v>
      </c>
      <c r="C41" s="61" t="s">
        <v>94</v>
      </c>
      <c r="D41" s="61" t="s">
        <v>192</v>
      </c>
      <c r="E41" s="73" t="s">
        <v>91</v>
      </c>
    </row>
    <row r="42" spans="1:5" s="84" customFormat="1" ht="23">
      <c r="A42" s="60">
        <v>40</v>
      </c>
      <c r="B42" s="61" t="s">
        <v>128</v>
      </c>
      <c r="C42" s="61" t="s">
        <v>148</v>
      </c>
      <c r="D42" s="61" t="s">
        <v>192</v>
      </c>
      <c r="E42" s="73" t="s">
        <v>91</v>
      </c>
    </row>
    <row r="43" spans="1:5" s="84" customFormat="1" ht="23">
      <c r="A43" s="60">
        <v>41</v>
      </c>
      <c r="B43" s="61" t="s">
        <v>129</v>
      </c>
      <c r="C43" s="61" t="s">
        <v>151</v>
      </c>
      <c r="D43" s="61" t="s">
        <v>192</v>
      </c>
      <c r="E43" s="73" t="s">
        <v>91</v>
      </c>
    </row>
    <row r="44" spans="1:5" s="84" customFormat="1" ht="23">
      <c r="A44" s="60">
        <v>42</v>
      </c>
      <c r="B44" s="61" t="s">
        <v>130</v>
      </c>
      <c r="C44" s="61" t="s">
        <v>152</v>
      </c>
      <c r="D44" s="61" t="s">
        <v>192</v>
      </c>
      <c r="E44" s="73" t="s">
        <v>91</v>
      </c>
    </row>
    <row r="45" spans="1:5" s="84" customFormat="1" ht="23">
      <c r="A45" s="60">
        <v>43</v>
      </c>
      <c r="B45" s="61" t="s">
        <v>132</v>
      </c>
      <c r="C45" s="61" t="s">
        <v>94</v>
      </c>
      <c r="D45" s="61" t="s">
        <v>192</v>
      </c>
      <c r="E45" s="73" t="s">
        <v>91</v>
      </c>
    </row>
    <row r="46" spans="1:5" s="84" customFormat="1" ht="23">
      <c r="A46" s="60">
        <v>44</v>
      </c>
      <c r="B46" s="61" t="s">
        <v>131</v>
      </c>
      <c r="C46" s="61" t="s">
        <v>153</v>
      </c>
      <c r="D46" s="61" t="s">
        <v>192</v>
      </c>
      <c r="E46" s="73" t="s">
        <v>91</v>
      </c>
    </row>
    <row r="47" spans="1:5" s="84" customFormat="1" ht="23">
      <c r="A47" s="60">
        <v>45</v>
      </c>
      <c r="B47" s="61" t="s">
        <v>133</v>
      </c>
      <c r="C47" s="61"/>
      <c r="D47" s="61" t="s">
        <v>192</v>
      </c>
      <c r="E47" s="73" t="s">
        <v>91</v>
      </c>
    </row>
    <row r="48" spans="1:5" s="84" customFormat="1" ht="23">
      <c r="A48" s="60">
        <v>46</v>
      </c>
      <c r="B48" s="61" t="s">
        <v>134</v>
      </c>
      <c r="C48" s="61" t="s">
        <v>139</v>
      </c>
      <c r="D48" s="61" t="s">
        <v>192</v>
      </c>
      <c r="E48" s="73" t="s">
        <v>91</v>
      </c>
    </row>
    <row r="49" spans="1:5" s="84" customFormat="1" ht="23">
      <c r="A49" s="60">
        <v>47</v>
      </c>
      <c r="B49" s="61" t="s">
        <v>135</v>
      </c>
      <c r="C49" s="61" t="s">
        <v>140</v>
      </c>
      <c r="D49" s="61" t="s">
        <v>192</v>
      </c>
      <c r="E49" s="73" t="s">
        <v>91</v>
      </c>
    </row>
    <row r="50" spans="1:5" s="84" customFormat="1" ht="23">
      <c r="A50" s="60">
        <v>48</v>
      </c>
      <c r="B50" s="61" t="s">
        <v>136</v>
      </c>
      <c r="C50" s="61" t="s">
        <v>141</v>
      </c>
      <c r="D50" s="61" t="s">
        <v>192</v>
      </c>
      <c r="E50" s="73" t="s">
        <v>91</v>
      </c>
    </row>
    <row r="51" spans="1:5" s="84" customFormat="1" ht="23">
      <c r="A51" s="60">
        <v>49</v>
      </c>
      <c r="B51" s="61" t="s">
        <v>137</v>
      </c>
      <c r="C51" s="61" t="s">
        <v>143</v>
      </c>
      <c r="D51" s="61" t="s">
        <v>192</v>
      </c>
      <c r="E51" s="73" t="s">
        <v>91</v>
      </c>
    </row>
    <row r="52" spans="1:5" s="84" customFormat="1" ht="23">
      <c r="A52" s="60">
        <v>50</v>
      </c>
      <c r="B52" s="61" t="s">
        <v>138</v>
      </c>
      <c r="C52" s="61" t="s">
        <v>142</v>
      </c>
      <c r="D52" s="61" t="s">
        <v>192</v>
      </c>
      <c r="E52" s="73" t="s">
        <v>91</v>
      </c>
    </row>
    <row r="53" spans="1:5" s="86" customFormat="1">
      <c r="A53" s="60">
        <v>51</v>
      </c>
      <c r="B53" s="62" t="s">
        <v>161</v>
      </c>
      <c r="C53" s="70" t="s">
        <v>154</v>
      </c>
      <c r="D53" s="73" t="s">
        <v>193</v>
      </c>
      <c r="E53" s="72" t="s">
        <v>155</v>
      </c>
    </row>
    <row r="54" spans="1:5" s="86" customFormat="1" ht="23">
      <c r="A54" s="60">
        <v>52</v>
      </c>
      <c r="B54" s="62" t="s">
        <v>162</v>
      </c>
      <c r="C54" s="70" t="s">
        <v>154</v>
      </c>
      <c r="D54" s="73" t="s">
        <v>193</v>
      </c>
      <c r="E54" s="72" t="s">
        <v>155</v>
      </c>
    </row>
    <row r="55" spans="1:5" s="86" customFormat="1" ht="23">
      <c r="A55" s="60">
        <v>53</v>
      </c>
      <c r="B55" s="62" t="s">
        <v>163</v>
      </c>
      <c r="C55" s="70" t="s">
        <v>154</v>
      </c>
      <c r="D55" s="73" t="s">
        <v>193</v>
      </c>
      <c r="E55" s="72" t="s">
        <v>155</v>
      </c>
    </row>
    <row r="56" spans="1:5" s="86" customFormat="1" ht="23">
      <c r="A56" s="60">
        <v>54</v>
      </c>
      <c r="B56" s="62" t="s">
        <v>158</v>
      </c>
      <c r="C56" s="70" t="s">
        <v>154</v>
      </c>
      <c r="D56" s="73" t="s">
        <v>193</v>
      </c>
      <c r="E56" s="72" t="s">
        <v>155</v>
      </c>
    </row>
    <row r="57" spans="1:5" s="86" customFormat="1">
      <c r="A57" s="60">
        <v>55</v>
      </c>
      <c r="B57" s="62" t="s">
        <v>159</v>
      </c>
      <c r="C57" s="70" t="s">
        <v>154</v>
      </c>
      <c r="D57" s="73" t="s">
        <v>193</v>
      </c>
      <c r="E57" s="72" t="s">
        <v>155</v>
      </c>
    </row>
    <row r="58" spans="1:5" s="86" customFormat="1">
      <c r="A58" s="60">
        <v>56</v>
      </c>
      <c r="B58" s="62" t="s">
        <v>184</v>
      </c>
      <c r="C58" s="70" t="s">
        <v>154</v>
      </c>
      <c r="D58" s="73" t="s">
        <v>193</v>
      </c>
      <c r="E58" s="72" t="s">
        <v>155</v>
      </c>
    </row>
    <row r="59" spans="1:5" s="86" customFormat="1">
      <c r="A59" s="60">
        <v>57</v>
      </c>
      <c r="B59" s="62" t="s">
        <v>160</v>
      </c>
      <c r="C59" s="70" t="s">
        <v>154</v>
      </c>
      <c r="D59" s="73" t="s">
        <v>193</v>
      </c>
      <c r="E59" s="72" t="s">
        <v>155</v>
      </c>
    </row>
    <row r="60" spans="1:5" s="86" customFormat="1" ht="23">
      <c r="A60" s="60">
        <v>58</v>
      </c>
      <c r="B60" s="62" t="s">
        <v>156</v>
      </c>
      <c r="C60" s="70" t="s">
        <v>157</v>
      </c>
      <c r="D60" s="73" t="s">
        <v>193</v>
      </c>
      <c r="E60" s="72" t="s">
        <v>155</v>
      </c>
    </row>
    <row r="61" spans="1:5" s="86" customFormat="1">
      <c r="A61" s="60">
        <v>59</v>
      </c>
      <c r="B61" s="62" t="s">
        <v>11</v>
      </c>
      <c r="C61" s="70" t="s">
        <v>154</v>
      </c>
      <c r="D61" s="73" t="s">
        <v>193</v>
      </c>
      <c r="E61" s="72" t="s">
        <v>12</v>
      </c>
    </row>
    <row r="62" spans="1:5" ht="46">
      <c r="A62" s="60">
        <v>60</v>
      </c>
      <c r="B62" s="62" t="s">
        <v>67</v>
      </c>
      <c r="C62" s="70" t="s">
        <v>68</v>
      </c>
      <c r="D62" s="73" t="s">
        <v>193</v>
      </c>
      <c r="E62" s="72" t="s">
        <v>69</v>
      </c>
    </row>
    <row r="63" spans="1:5" ht="46">
      <c r="A63" s="60">
        <v>61</v>
      </c>
      <c r="B63" s="62" t="s">
        <v>70</v>
      </c>
      <c r="C63" s="70" t="s">
        <v>71</v>
      </c>
      <c r="D63" s="73" t="s">
        <v>193</v>
      </c>
      <c r="E63" s="72" t="s">
        <v>69</v>
      </c>
    </row>
    <row r="64" spans="1:5" ht="46">
      <c r="A64" s="60">
        <v>62</v>
      </c>
      <c r="B64" s="62" t="s">
        <v>72</v>
      </c>
      <c r="C64" s="70" t="s">
        <v>74</v>
      </c>
      <c r="D64" s="73" t="s">
        <v>193</v>
      </c>
      <c r="E64" s="74" t="s">
        <v>69</v>
      </c>
    </row>
    <row r="65" spans="1:5" ht="34.5">
      <c r="A65" s="60">
        <v>63</v>
      </c>
      <c r="B65" s="62" t="s">
        <v>73</v>
      </c>
      <c r="C65" s="70" t="s">
        <v>75</v>
      </c>
      <c r="D65" s="73" t="s">
        <v>193</v>
      </c>
      <c r="E65" s="74" t="s">
        <v>77</v>
      </c>
    </row>
    <row r="66" spans="1:5" s="84" customFormat="1" ht="34.5">
      <c r="A66" s="60">
        <v>64</v>
      </c>
      <c r="B66" s="62" t="s">
        <v>45</v>
      </c>
      <c r="C66" s="67" t="s">
        <v>46</v>
      </c>
      <c r="D66" s="73" t="s">
        <v>193</v>
      </c>
      <c r="E66" s="89" t="s">
        <v>47</v>
      </c>
    </row>
    <row r="67" spans="1:5" s="84" customFormat="1" ht="23">
      <c r="A67" s="60">
        <v>65</v>
      </c>
      <c r="B67" s="62" t="s">
        <v>50</v>
      </c>
      <c r="C67" s="67" t="s">
        <v>51</v>
      </c>
      <c r="D67" s="73" t="s">
        <v>193</v>
      </c>
      <c r="E67" s="89" t="s">
        <v>47</v>
      </c>
    </row>
    <row r="68" spans="1:5" ht="23">
      <c r="A68" s="60">
        <v>66</v>
      </c>
      <c r="B68" s="70" t="s">
        <v>175</v>
      </c>
      <c r="C68" s="70" t="s">
        <v>116</v>
      </c>
      <c r="D68" s="70" t="s">
        <v>194</v>
      </c>
      <c r="E68" s="72" t="s">
        <v>176</v>
      </c>
    </row>
    <row r="69" spans="1:5" ht="80.5">
      <c r="A69" s="60">
        <v>67</v>
      </c>
      <c r="B69" s="62" t="s">
        <v>78</v>
      </c>
      <c r="C69" s="70" t="s">
        <v>79</v>
      </c>
      <c r="D69" s="70" t="s">
        <v>194</v>
      </c>
      <c r="E69" s="74" t="s">
        <v>20</v>
      </c>
    </row>
    <row r="70" spans="1:5" ht="23">
      <c r="A70" s="60">
        <v>68</v>
      </c>
      <c r="B70" s="62" t="s">
        <v>80</v>
      </c>
      <c r="C70" s="70" t="s">
        <v>82</v>
      </c>
      <c r="D70" s="70" t="s">
        <v>194</v>
      </c>
      <c r="E70" s="74" t="s">
        <v>81</v>
      </c>
    </row>
    <row r="71" spans="1:5" ht="23">
      <c r="A71" s="60">
        <v>69</v>
      </c>
      <c r="B71" s="64" t="s">
        <v>18</v>
      </c>
      <c r="C71" s="65" t="s">
        <v>19</v>
      </c>
      <c r="D71" s="70" t="s">
        <v>194</v>
      </c>
      <c r="E71" s="74" t="s">
        <v>17</v>
      </c>
    </row>
    <row r="72" spans="1:5" ht="23">
      <c r="A72" s="60">
        <v>70</v>
      </c>
      <c r="B72" s="64" t="s">
        <v>15</v>
      </c>
      <c r="C72" s="65" t="s">
        <v>16</v>
      </c>
      <c r="D72" s="70" t="s">
        <v>194</v>
      </c>
      <c r="E72" s="74" t="s">
        <v>17</v>
      </c>
    </row>
    <row r="73" spans="1:5" ht="34.5">
      <c r="A73" s="60">
        <v>71</v>
      </c>
      <c r="B73" s="64" t="s">
        <v>164</v>
      </c>
      <c r="C73" s="74" t="s">
        <v>39</v>
      </c>
      <c r="D73" s="70" t="s">
        <v>194</v>
      </c>
      <c r="E73" s="74" t="s">
        <v>20</v>
      </c>
    </row>
    <row r="74" spans="1:5" ht="23">
      <c r="A74" s="60">
        <v>72</v>
      </c>
      <c r="B74" s="64" t="s">
        <v>165</v>
      </c>
      <c r="C74" s="65" t="s">
        <v>115</v>
      </c>
      <c r="D74" s="70" t="s">
        <v>194</v>
      </c>
      <c r="E74" s="74" t="s">
        <v>17</v>
      </c>
    </row>
    <row r="75" spans="1:5" s="87" customFormat="1" ht="24">
      <c r="A75" s="60">
        <v>73</v>
      </c>
      <c r="B75" s="75" t="s">
        <v>175</v>
      </c>
      <c r="C75" s="76" t="s">
        <v>116</v>
      </c>
      <c r="D75" s="76" t="s">
        <v>195</v>
      </c>
      <c r="E75" s="90" t="s">
        <v>176</v>
      </c>
    </row>
    <row r="76" spans="1:5" s="87" customFormat="1" ht="79.5" customHeight="1">
      <c r="A76" s="60">
        <v>74</v>
      </c>
      <c r="B76" s="77" t="s">
        <v>78</v>
      </c>
      <c r="C76" s="75" t="s">
        <v>79</v>
      </c>
      <c r="D76" s="76" t="s">
        <v>195</v>
      </c>
      <c r="E76" s="80" t="s">
        <v>20</v>
      </c>
    </row>
    <row r="77" spans="1:5" s="87" customFormat="1" ht="24">
      <c r="A77" s="60">
        <v>75</v>
      </c>
      <c r="B77" s="77" t="s">
        <v>80</v>
      </c>
      <c r="C77" s="76" t="s">
        <v>82</v>
      </c>
      <c r="D77" s="76" t="s">
        <v>195</v>
      </c>
      <c r="E77" s="80" t="s">
        <v>81</v>
      </c>
    </row>
    <row r="78" spans="1:5" s="87" customFormat="1" ht="24">
      <c r="A78" s="60">
        <v>76</v>
      </c>
      <c r="B78" s="78" t="s">
        <v>18</v>
      </c>
      <c r="C78" s="79" t="s">
        <v>19</v>
      </c>
      <c r="D78" s="76" t="s">
        <v>195</v>
      </c>
      <c r="E78" s="80" t="s">
        <v>17</v>
      </c>
    </row>
    <row r="79" spans="1:5" s="87" customFormat="1" ht="24">
      <c r="A79" s="60">
        <v>77</v>
      </c>
      <c r="B79" s="78" t="s">
        <v>15</v>
      </c>
      <c r="C79" s="79" t="s">
        <v>16</v>
      </c>
      <c r="D79" s="76" t="s">
        <v>195</v>
      </c>
      <c r="E79" s="80" t="s">
        <v>17</v>
      </c>
    </row>
    <row r="80" spans="1:5" s="87" customFormat="1" ht="36">
      <c r="A80" s="60">
        <v>78</v>
      </c>
      <c r="B80" s="78" t="s">
        <v>164</v>
      </c>
      <c r="C80" s="80" t="s">
        <v>39</v>
      </c>
      <c r="D80" s="76" t="s">
        <v>195</v>
      </c>
      <c r="E80" s="80" t="s">
        <v>20</v>
      </c>
    </row>
    <row r="81" spans="1:5" s="87" customFormat="1" ht="24">
      <c r="A81" s="60">
        <v>79</v>
      </c>
      <c r="B81" s="78" t="s">
        <v>165</v>
      </c>
      <c r="C81" s="79" t="s">
        <v>115</v>
      </c>
      <c r="D81" s="76" t="s">
        <v>195</v>
      </c>
      <c r="E81" s="80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2032-688A-4DC5-BCF5-7D5636A367FF}">
  <dimension ref="A1:E24"/>
  <sheetViews>
    <sheetView zoomScale="85" zoomScaleNormal="85" workbookViewId="0">
      <selection activeCell="G7" sqref="G7"/>
    </sheetView>
  </sheetViews>
  <sheetFormatPr defaultColWidth="10.6640625" defaultRowHeight="10.5"/>
  <cols>
    <col min="1" max="1" width="5" style="56" bestFit="1" customWidth="1"/>
    <col min="2" max="2" width="28.75" style="54" customWidth="1"/>
    <col min="3" max="3" width="16.75" style="54" customWidth="1"/>
    <col min="4" max="4" width="8.08203125" style="54" customWidth="1"/>
    <col min="5" max="5" width="14.1640625" style="54" customWidth="1"/>
    <col min="6" max="16384" width="10.6640625" style="54"/>
  </cols>
  <sheetData>
    <row r="1" spans="1:5">
      <c r="A1" s="55"/>
      <c r="B1" s="55"/>
      <c r="C1" s="55"/>
      <c r="D1" s="55"/>
      <c r="E1" s="55"/>
    </row>
    <row r="2" spans="1:5" s="56" customFormat="1" ht="21">
      <c r="A2" s="43" t="s">
        <v>0</v>
      </c>
      <c r="B2" s="43" t="s">
        <v>1</v>
      </c>
      <c r="C2" s="43" t="s">
        <v>98</v>
      </c>
      <c r="D2" s="43" t="s">
        <v>188</v>
      </c>
      <c r="E2" s="43" t="s">
        <v>86</v>
      </c>
    </row>
    <row r="3" spans="1:5" s="58" customFormat="1" ht="42">
      <c r="A3" s="57">
        <v>1</v>
      </c>
      <c r="B3" s="44" t="s">
        <v>186</v>
      </c>
      <c r="C3" s="44" t="s">
        <v>187</v>
      </c>
      <c r="D3" s="44" t="s">
        <v>189</v>
      </c>
      <c r="E3" s="44" t="s">
        <v>99</v>
      </c>
    </row>
    <row r="4" spans="1:5" s="58" customFormat="1" ht="38.5" customHeight="1">
      <c r="A4" s="57">
        <v>2</v>
      </c>
      <c r="B4" s="44" t="s">
        <v>123</v>
      </c>
      <c r="C4" s="44" t="s">
        <v>185</v>
      </c>
      <c r="D4" s="44" t="s">
        <v>189</v>
      </c>
      <c r="E4" s="44" t="s">
        <v>99</v>
      </c>
    </row>
    <row r="5" spans="1:5" s="58" customFormat="1" ht="42">
      <c r="A5" s="57">
        <v>3</v>
      </c>
      <c r="B5" s="44" t="s">
        <v>108</v>
      </c>
      <c r="C5" s="44" t="s">
        <v>109</v>
      </c>
      <c r="D5" s="44" t="s">
        <v>189</v>
      </c>
      <c r="E5" s="44" t="s">
        <v>10</v>
      </c>
    </row>
    <row r="6" spans="1:5" s="58" customFormat="1" ht="42">
      <c r="A6" s="57">
        <v>4</v>
      </c>
      <c r="B6" s="44" t="s">
        <v>106</v>
      </c>
      <c r="C6" s="44" t="s">
        <v>107</v>
      </c>
      <c r="D6" s="44" t="s">
        <v>189</v>
      </c>
      <c r="E6" s="44" t="s">
        <v>10</v>
      </c>
    </row>
    <row r="7" spans="1:5" s="58" customFormat="1" ht="42">
      <c r="A7" s="57">
        <v>12</v>
      </c>
      <c r="B7" s="45" t="s">
        <v>13</v>
      </c>
      <c r="C7" s="46" t="s">
        <v>14</v>
      </c>
      <c r="D7" s="44" t="s">
        <v>189</v>
      </c>
      <c r="E7" s="45" t="s">
        <v>10</v>
      </c>
    </row>
    <row r="8" spans="1:5" ht="42">
      <c r="A8" s="57">
        <v>13</v>
      </c>
      <c r="B8" s="47" t="s">
        <v>8</v>
      </c>
      <c r="C8" s="48" t="s">
        <v>9</v>
      </c>
      <c r="D8" s="44" t="s">
        <v>189</v>
      </c>
      <c r="E8" s="47" t="s">
        <v>10</v>
      </c>
    </row>
    <row r="9" spans="1:5" ht="31.5">
      <c r="A9" s="57">
        <v>14</v>
      </c>
      <c r="B9" s="47" t="s">
        <v>117</v>
      </c>
      <c r="C9" s="49" t="s">
        <v>33</v>
      </c>
      <c r="D9" s="44" t="s">
        <v>189</v>
      </c>
      <c r="E9" s="47" t="s">
        <v>10</v>
      </c>
    </row>
    <row r="10" spans="1:5" s="58" customFormat="1" ht="31.5">
      <c r="A10" s="57">
        <v>15</v>
      </c>
      <c r="B10" s="45" t="s">
        <v>31</v>
      </c>
      <c r="C10" s="46" t="s">
        <v>32</v>
      </c>
      <c r="D10" s="44" t="s">
        <v>189</v>
      </c>
      <c r="E10" s="45" t="s">
        <v>10</v>
      </c>
    </row>
    <row r="11" spans="1:5" s="58" customFormat="1" ht="73.5">
      <c r="A11" s="57">
        <v>16</v>
      </c>
      <c r="B11" s="45" t="s">
        <v>182</v>
      </c>
      <c r="C11" s="44" t="s">
        <v>76</v>
      </c>
      <c r="D11" s="44" t="s">
        <v>189</v>
      </c>
      <c r="E11" s="45" t="s">
        <v>183</v>
      </c>
    </row>
    <row r="12" spans="1:5" s="58" customFormat="1" ht="31.5">
      <c r="A12" s="57">
        <v>17</v>
      </c>
      <c r="B12" s="45" t="s">
        <v>43</v>
      </c>
      <c r="C12" s="50" t="s">
        <v>44</v>
      </c>
      <c r="D12" s="44" t="s">
        <v>189</v>
      </c>
      <c r="E12" s="45" t="s">
        <v>42</v>
      </c>
    </row>
    <row r="13" spans="1:5" s="58" customFormat="1" ht="31.5">
      <c r="A13" s="57">
        <v>18</v>
      </c>
      <c r="B13" s="45" t="s">
        <v>40</v>
      </c>
      <c r="C13" s="50" t="s">
        <v>41</v>
      </c>
      <c r="D13" s="44" t="s">
        <v>189</v>
      </c>
      <c r="E13" s="45" t="s">
        <v>42</v>
      </c>
    </row>
    <row r="14" spans="1:5" s="58" customFormat="1" ht="31.5">
      <c r="A14" s="57">
        <v>19</v>
      </c>
      <c r="B14" s="45" t="s">
        <v>37</v>
      </c>
      <c r="C14" s="50" t="s">
        <v>35</v>
      </c>
      <c r="D14" s="44" t="s">
        <v>189</v>
      </c>
      <c r="E14" s="45" t="s">
        <v>38</v>
      </c>
    </row>
    <row r="15" spans="1:5" ht="21">
      <c r="A15" s="57">
        <v>20</v>
      </c>
      <c r="B15" s="47" t="s">
        <v>34</v>
      </c>
      <c r="C15" s="51" t="s">
        <v>35</v>
      </c>
      <c r="D15" s="44" t="s">
        <v>189</v>
      </c>
      <c r="E15" s="47" t="s">
        <v>36</v>
      </c>
    </row>
    <row r="16" spans="1:5" ht="63">
      <c r="A16" s="57">
        <v>21</v>
      </c>
      <c r="B16" s="47" t="s">
        <v>24</v>
      </c>
      <c r="C16" s="51" t="s">
        <v>25</v>
      </c>
      <c r="D16" s="44" t="s">
        <v>189</v>
      </c>
      <c r="E16" s="47" t="s">
        <v>113</v>
      </c>
    </row>
    <row r="17" spans="1:5" s="58" customFormat="1" ht="21">
      <c r="A17" s="57">
        <v>22</v>
      </c>
      <c r="B17" s="44" t="s">
        <v>103</v>
      </c>
      <c r="C17" s="44" t="s">
        <v>105</v>
      </c>
      <c r="D17" s="44" t="s">
        <v>189</v>
      </c>
      <c r="E17" s="44" t="s">
        <v>104</v>
      </c>
    </row>
    <row r="18" spans="1:5">
      <c r="A18" s="57">
        <v>23</v>
      </c>
      <c r="B18" s="47" t="s">
        <v>48</v>
      </c>
      <c r="C18" s="51"/>
      <c r="D18" s="44" t="s">
        <v>189</v>
      </c>
      <c r="E18" s="47" t="s">
        <v>49</v>
      </c>
    </row>
    <row r="19" spans="1:5" s="58" customFormat="1" ht="31.5">
      <c r="A19" s="57">
        <v>24</v>
      </c>
      <c r="B19" s="45" t="s">
        <v>52</v>
      </c>
      <c r="C19" s="52" t="s">
        <v>53</v>
      </c>
      <c r="D19" s="44" t="s">
        <v>189</v>
      </c>
      <c r="E19" s="45" t="s">
        <v>54</v>
      </c>
    </row>
    <row r="20" spans="1:5" s="58" customFormat="1" ht="21">
      <c r="A20" s="57">
        <v>25</v>
      </c>
      <c r="B20" s="45" t="s">
        <v>64</v>
      </c>
      <c r="C20" s="52" t="s">
        <v>65</v>
      </c>
      <c r="D20" s="44" t="s">
        <v>189</v>
      </c>
      <c r="E20" s="45" t="s">
        <v>66</v>
      </c>
    </row>
    <row r="21" spans="1:5" s="58" customFormat="1" ht="21">
      <c r="A21" s="57">
        <v>26</v>
      </c>
      <c r="B21" s="45" t="s">
        <v>61</v>
      </c>
      <c r="C21" s="50" t="s">
        <v>62</v>
      </c>
      <c r="D21" s="44" t="s">
        <v>189</v>
      </c>
      <c r="E21" s="45" t="s">
        <v>63</v>
      </c>
    </row>
    <row r="22" spans="1:5" s="58" customFormat="1" ht="31.5">
      <c r="A22" s="57">
        <v>27</v>
      </c>
      <c r="B22" s="45" t="s">
        <v>58</v>
      </c>
      <c r="C22" s="50" t="s">
        <v>59</v>
      </c>
      <c r="D22" s="44" t="s">
        <v>189</v>
      </c>
      <c r="E22" s="45" t="s">
        <v>60</v>
      </c>
    </row>
    <row r="23" spans="1:5" ht="31.5">
      <c r="A23" s="57">
        <v>28</v>
      </c>
      <c r="B23" s="53" t="s">
        <v>110</v>
      </c>
      <c r="C23" s="53" t="s">
        <v>112</v>
      </c>
      <c r="D23" s="44" t="s">
        <v>189</v>
      </c>
      <c r="E23" s="53" t="s">
        <v>111</v>
      </c>
    </row>
    <row r="24" spans="1:5" ht="31.5">
      <c r="A24" s="57">
        <v>29</v>
      </c>
      <c r="B24" s="53" t="s">
        <v>100</v>
      </c>
      <c r="C24" s="53" t="s">
        <v>102</v>
      </c>
      <c r="D24" s="44" t="s">
        <v>189</v>
      </c>
      <c r="E24" s="53" t="s">
        <v>101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76E3-B2B9-4208-91AB-4AB8589BCC78}">
  <dimension ref="A1:D31"/>
  <sheetViews>
    <sheetView zoomScale="85" zoomScaleNormal="85" workbookViewId="0">
      <selection activeCell="A4" sqref="A4:XFD31"/>
    </sheetView>
  </sheetViews>
  <sheetFormatPr defaultColWidth="10.6640625" defaultRowHeight="14.5"/>
  <cols>
    <col min="1" max="1" width="5" style="13" bestFit="1" customWidth="1"/>
    <col min="2" max="2" width="55.4140625" style="14" bestFit="1" customWidth="1"/>
    <col min="3" max="3" width="35.25" style="14" bestFit="1" customWidth="1"/>
    <col min="4" max="4" width="29.4140625" style="14" bestFit="1" customWidth="1"/>
    <col min="5" max="16384" width="10.6640625" style="14"/>
  </cols>
  <sheetData>
    <row r="1" spans="1:4" ht="26">
      <c r="A1" s="136" t="s">
        <v>87</v>
      </c>
      <c r="B1" s="136"/>
      <c r="C1" s="136"/>
      <c r="D1" s="136"/>
    </row>
    <row r="2" spans="1:4">
      <c r="A2" s="137" t="s">
        <v>0</v>
      </c>
      <c r="B2" s="137" t="s">
        <v>1</v>
      </c>
      <c r="C2" s="137" t="s">
        <v>98</v>
      </c>
      <c r="D2" s="137" t="s">
        <v>86</v>
      </c>
    </row>
    <row r="3" spans="1:4">
      <c r="A3" s="137"/>
      <c r="B3" s="137"/>
      <c r="C3" s="137"/>
      <c r="D3" s="137"/>
    </row>
    <row r="4" spans="1:4" s="25" customFormat="1">
      <c r="A4" s="15">
        <v>1</v>
      </c>
      <c r="B4" s="10" t="s">
        <v>166</v>
      </c>
      <c r="C4" s="19" t="s">
        <v>167</v>
      </c>
      <c r="D4" s="1" t="s">
        <v>168</v>
      </c>
    </row>
    <row r="5" spans="1:4" s="25" customFormat="1" ht="43.5">
      <c r="A5" s="15">
        <v>2</v>
      </c>
      <c r="B5" s="10" t="s">
        <v>169</v>
      </c>
      <c r="C5" s="39" t="s">
        <v>171</v>
      </c>
      <c r="D5" s="1" t="s">
        <v>170</v>
      </c>
    </row>
    <row r="6" spans="1:4" ht="43.5">
      <c r="A6" s="15">
        <v>3</v>
      </c>
      <c r="B6" s="10" t="s">
        <v>83</v>
      </c>
      <c r="C6" s="19" t="s">
        <v>84</v>
      </c>
      <c r="D6" s="1" t="s">
        <v>7</v>
      </c>
    </row>
    <row r="7" spans="1:4" ht="29">
      <c r="A7" s="15">
        <v>4</v>
      </c>
      <c r="B7" s="31" t="s">
        <v>149</v>
      </c>
      <c r="C7" s="20" t="s">
        <v>6</v>
      </c>
      <c r="D7" s="21" t="s">
        <v>7</v>
      </c>
    </row>
    <row r="8" spans="1:4">
      <c r="A8" s="15">
        <v>5</v>
      </c>
      <c r="B8" s="28" t="s">
        <v>150</v>
      </c>
      <c r="C8" s="19" t="s">
        <v>92</v>
      </c>
      <c r="D8" s="19" t="s">
        <v>91</v>
      </c>
    </row>
    <row r="9" spans="1:4" ht="29">
      <c r="A9" s="15">
        <v>6</v>
      </c>
      <c r="B9" s="28" t="s">
        <v>93</v>
      </c>
      <c r="C9" s="19" t="s">
        <v>96</v>
      </c>
      <c r="D9" s="19" t="s">
        <v>91</v>
      </c>
    </row>
    <row r="10" spans="1:4">
      <c r="A10" s="15">
        <v>7</v>
      </c>
      <c r="B10" s="19" t="s">
        <v>97</v>
      </c>
      <c r="C10" s="19" t="s">
        <v>94</v>
      </c>
      <c r="D10" s="19" t="s">
        <v>91</v>
      </c>
    </row>
    <row r="11" spans="1:4" ht="29">
      <c r="A11" s="15">
        <v>8</v>
      </c>
      <c r="B11" s="19" t="s">
        <v>95</v>
      </c>
      <c r="C11" s="19"/>
      <c r="D11" s="19" t="s">
        <v>91</v>
      </c>
    </row>
    <row r="12" spans="1:4" s="25" customFormat="1" ht="29">
      <c r="A12" s="15">
        <v>9</v>
      </c>
      <c r="B12" s="23" t="s">
        <v>118</v>
      </c>
      <c r="C12" s="27" t="s">
        <v>144</v>
      </c>
      <c r="D12" s="23" t="s">
        <v>91</v>
      </c>
    </row>
    <row r="13" spans="1:4" s="25" customFormat="1">
      <c r="A13" s="15">
        <v>10</v>
      </c>
      <c r="B13" s="24" t="s">
        <v>119</v>
      </c>
      <c r="C13" s="27" t="s">
        <v>145</v>
      </c>
      <c r="D13" s="23" t="s">
        <v>91</v>
      </c>
    </row>
    <row r="14" spans="1:4" s="25" customFormat="1">
      <c r="A14" s="15">
        <v>11</v>
      </c>
      <c r="B14" s="24" t="s">
        <v>120</v>
      </c>
      <c r="C14" s="27" t="s">
        <v>146</v>
      </c>
      <c r="D14" s="23" t="s">
        <v>91</v>
      </c>
    </row>
    <row r="15" spans="1:4" s="25" customFormat="1">
      <c r="A15" s="15">
        <v>12</v>
      </c>
      <c r="B15" s="27" t="s">
        <v>121</v>
      </c>
      <c r="C15" s="27" t="s">
        <v>147</v>
      </c>
      <c r="D15" s="23" t="s">
        <v>91</v>
      </c>
    </row>
    <row r="16" spans="1:4" s="25" customFormat="1">
      <c r="A16" s="15">
        <v>13</v>
      </c>
      <c r="B16" s="24" t="s">
        <v>122</v>
      </c>
      <c r="C16" s="27" t="s">
        <v>116</v>
      </c>
      <c r="D16" s="23" t="s">
        <v>91</v>
      </c>
    </row>
    <row r="17" spans="1:4" s="25" customFormat="1">
      <c r="A17" s="15">
        <v>14</v>
      </c>
      <c r="B17" s="29" t="s">
        <v>124</v>
      </c>
      <c r="C17" s="27" t="s">
        <v>94</v>
      </c>
      <c r="D17" s="23" t="s">
        <v>91</v>
      </c>
    </row>
    <row r="18" spans="1:4" s="25" customFormat="1">
      <c r="A18" s="15">
        <v>15</v>
      </c>
      <c r="B18" s="27" t="s">
        <v>125</v>
      </c>
      <c r="C18" s="27" t="s">
        <v>114</v>
      </c>
      <c r="D18" s="23" t="s">
        <v>91</v>
      </c>
    </row>
    <row r="19" spans="1:4" s="25" customFormat="1">
      <c r="A19" s="15">
        <v>16</v>
      </c>
      <c r="B19" s="27" t="s">
        <v>126</v>
      </c>
      <c r="C19" s="24"/>
      <c r="D19" s="23" t="s">
        <v>91</v>
      </c>
    </row>
    <row r="20" spans="1:4" s="25" customFormat="1" ht="29">
      <c r="A20" s="15">
        <v>17</v>
      </c>
      <c r="B20" s="26" t="s">
        <v>127</v>
      </c>
      <c r="C20" s="27" t="s">
        <v>94</v>
      </c>
      <c r="D20" s="23" t="s">
        <v>91</v>
      </c>
    </row>
    <row r="21" spans="1:4" s="25" customFormat="1" ht="29">
      <c r="A21" s="15">
        <v>18</v>
      </c>
      <c r="B21" s="27" t="s">
        <v>128</v>
      </c>
      <c r="C21" s="26" t="s">
        <v>148</v>
      </c>
      <c r="D21" s="23" t="s">
        <v>91</v>
      </c>
    </row>
    <row r="22" spans="1:4" s="25" customFormat="1">
      <c r="A22" s="15">
        <v>19</v>
      </c>
      <c r="B22" s="27" t="s">
        <v>129</v>
      </c>
      <c r="C22" s="27" t="s">
        <v>151</v>
      </c>
      <c r="D22" s="23" t="s">
        <v>91</v>
      </c>
    </row>
    <row r="23" spans="1:4" s="25" customFormat="1">
      <c r="A23" s="15">
        <v>20</v>
      </c>
      <c r="B23" s="27" t="s">
        <v>130</v>
      </c>
      <c r="C23" s="27" t="s">
        <v>152</v>
      </c>
      <c r="D23" s="23" t="s">
        <v>91</v>
      </c>
    </row>
    <row r="24" spans="1:4" s="25" customFormat="1">
      <c r="A24" s="15">
        <v>21</v>
      </c>
      <c r="B24" s="27" t="s">
        <v>132</v>
      </c>
      <c r="C24" s="27" t="s">
        <v>94</v>
      </c>
      <c r="D24" s="23" t="s">
        <v>91</v>
      </c>
    </row>
    <row r="25" spans="1:4" s="25" customFormat="1">
      <c r="A25" s="15">
        <v>22</v>
      </c>
      <c r="B25" s="27" t="s">
        <v>131</v>
      </c>
      <c r="C25" s="27" t="s">
        <v>153</v>
      </c>
      <c r="D25" s="23" t="s">
        <v>91</v>
      </c>
    </row>
    <row r="26" spans="1:4" s="25" customFormat="1" ht="29">
      <c r="A26" s="15">
        <v>23</v>
      </c>
      <c r="B26" s="26" t="s">
        <v>133</v>
      </c>
      <c r="C26" s="24"/>
      <c r="D26" s="23" t="s">
        <v>91</v>
      </c>
    </row>
    <row r="27" spans="1:4" s="25" customFormat="1">
      <c r="A27" s="15">
        <v>24</v>
      </c>
      <c r="B27" s="27" t="s">
        <v>134</v>
      </c>
      <c r="C27" s="27" t="s">
        <v>139</v>
      </c>
      <c r="D27" s="23" t="s">
        <v>91</v>
      </c>
    </row>
    <row r="28" spans="1:4" s="25" customFormat="1" ht="29">
      <c r="A28" s="15">
        <v>25</v>
      </c>
      <c r="B28" s="26" t="s">
        <v>135</v>
      </c>
      <c r="C28" s="26" t="s">
        <v>140</v>
      </c>
      <c r="D28" s="23" t="s">
        <v>91</v>
      </c>
    </row>
    <row r="29" spans="1:4" s="25" customFormat="1">
      <c r="A29" s="15">
        <v>26</v>
      </c>
      <c r="B29" s="27" t="s">
        <v>136</v>
      </c>
      <c r="C29" s="27" t="s">
        <v>141</v>
      </c>
      <c r="D29" s="23" t="s">
        <v>91</v>
      </c>
    </row>
    <row r="30" spans="1:4" s="25" customFormat="1">
      <c r="A30" s="15">
        <v>27</v>
      </c>
      <c r="B30" s="27" t="s">
        <v>137</v>
      </c>
      <c r="C30" s="27" t="s">
        <v>143</v>
      </c>
      <c r="D30" s="23" t="s">
        <v>91</v>
      </c>
    </row>
    <row r="31" spans="1:4" s="25" customFormat="1" ht="43.5">
      <c r="A31" s="15">
        <v>28</v>
      </c>
      <c r="B31" s="26" t="s">
        <v>138</v>
      </c>
      <c r="C31" s="27" t="s">
        <v>142</v>
      </c>
      <c r="D31" s="23" t="s">
        <v>91</v>
      </c>
    </row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B630-1243-4D24-A9E7-5640B19688E1}">
  <dimension ref="A1:E18"/>
  <sheetViews>
    <sheetView zoomScale="85" zoomScaleNormal="85" workbookViewId="0">
      <selection activeCell="A4" sqref="A4:XFD18"/>
    </sheetView>
  </sheetViews>
  <sheetFormatPr defaultColWidth="10.6640625" defaultRowHeight="14.5"/>
  <cols>
    <col min="1" max="1" width="5" style="13" bestFit="1" customWidth="1"/>
    <col min="2" max="2" width="55.4140625" style="14" bestFit="1" customWidth="1"/>
    <col min="3" max="3" width="35.25" style="14" bestFit="1" customWidth="1"/>
    <col min="4" max="4" width="29.4140625" style="14" bestFit="1" customWidth="1"/>
    <col min="5" max="5" width="10.6640625" style="13"/>
    <col min="6" max="16384" width="10.6640625" style="14"/>
  </cols>
  <sheetData>
    <row r="1" spans="1:4" ht="26">
      <c r="A1" s="136" t="s">
        <v>88</v>
      </c>
      <c r="B1" s="136"/>
      <c r="C1" s="136"/>
      <c r="D1" s="136"/>
    </row>
    <row r="2" spans="1:4">
      <c r="A2" s="137" t="s">
        <v>0</v>
      </c>
      <c r="B2" s="137" t="s">
        <v>1</v>
      </c>
      <c r="C2" s="137" t="s">
        <v>98</v>
      </c>
      <c r="D2" s="137" t="s">
        <v>3</v>
      </c>
    </row>
    <row r="3" spans="1:4">
      <c r="A3" s="137"/>
      <c r="B3" s="137"/>
      <c r="C3" s="137"/>
      <c r="D3" s="137"/>
    </row>
    <row r="4" spans="1:4" s="35" customFormat="1">
      <c r="A4" s="15">
        <v>1</v>
      </c>
      <c r="B4" s="10" t="s">
        <v>161</v>
      </c>
      <c r="C4" s="16" t="s">
        <v>154</v>
      </c>
      <c r="D4" s="37" t="s">
        <v>155</v>
      </c>
    </row>
    <row r="5" spans="1:4" s="35" customFormat="1" ht="29">
      <c r="A5" s="15">
        <v>2</v>
      </c>
      <c r="B5" s="10" t="s">
        <v>162</v>
      </c>
      <c r="C5" s="16" t="s">
        <v>154</v>
      </c>
      <c r="D5" s="37" t="s">
        <v>155</v>
      </c>
    </row>
    <row r="6" spans="1:4" s="35" customFormat="1" ht="29">
      <c r="A6" s="15">
        <v>3</v>
      </c>
      <c r="B6" s="10" t="s">
        <v>163</v>
      </c>
      <c r="C6" s="16" t="s">
        <v>154</v>
      </c>
      <c r="D6" s="37" t="s">
        <v>155</v>
      </c>
    </row>
    <row r="7" spans="1:4" s="35" customFormat="1" ht="29">
      <c r="A7" s="15">
        <v>4</v>
      </c>
      <c r="B7" s="10" t="s">
        <v>158</v>
      </c>
      <c r="C7" s="16" t="s">
        <v>154</v>
      </c>
      <c r="D7" s="37" t="s">
        <v>155</v>
      </c>
    </row>
    <row r="8" spans="1:4" s="35" customFormat="1">
      <c r="A8" s="15">
        <v>5</v>
      </c>
      <c r="B8" s="10" t="s">
        <v>159</v>
      </c>
      <c r="C8" s="16" t="s">
        <v>154</v>
      </c>
      <c r="D8" s="37" t="s">
        <v>155</v>
      </c>
    </row>
    <row r="9" spans="1:4" s="35" customFormat="1">
      <c r="A9" s="15">
        <v>6</v>
      </c>
      <c r="B9" s="10" t="s">
        <v>184</v>
      </c>
      <c r="C9" s="16" t="s">
        <v>154</v>
      </c>
      <c r="D9" s="37" t="s">
        <v>155</v>
      </c>
    </row>
    <row r="10" spans="1:4" s="35" customFormat="1">
      <c r="A10" s="15">
        <v>7</v>
      </c>
      <c r="B10" s="10" t="s">
        <v>160</v>
      </c>
      <c r="C10" s="16" t="s">
        <v>154</v>
      </c>
      <c r="D10" s="37" t="s">
        <v>155</v>
      </c>
    </row>
    <row r="11" spans="1:4" s="35" customFormat="1" ht="29">
      <c r="A11" s="15">
        <v>8</v>
      </c>
      <c r="B11" s="10" t="s">
        <v>156</v>
      </c>
      <c r="C11" s="38" t="s">
        <v>157</v>
      </c>
      <c r="D11" s="37" t="s">
        <v>155</v>
      </c>
    </row>
    <row r="12" spans="1:4" s="35" customFormat="1" ht="29">
      <c r="A12" s="15"/>
      <c r="B12" s="10" t="s">
        <v>11</v>
      </c>
      <c r="C12" s="38" t="s">
        <v>154</v>
      </c>
      <c r="D12" s="37" t="s">
        <v>12</v>
      </c>
    </row>
    <row r="13" spans="1:4" ht="43.5">
      <c r="A13" s="15">
        <v>9</v>
      </c>
      <c r="B13" s="10" t="s">
        <v>67</v>
      </c>
      <c r="C13" s="16" t="s">
        <v>68</v>
      </c>
      <c r="D13" s="19" t="s">
        <v>69</v>
      </c>
    </row>
    <row r="14" spans="1:4" ht="43.5">
      <c r="A14" s="15">
        <v>10</v>
      </c>
      <c r="B14" s="10" t="s">
        <v>70</v>
      </c>
      <c r="C14" s="16" t="s">
        <v>71</v>
      </c>
      <c r="D14" s="19" t="s">
        <v>69</v>
      </c>
    </row>
    <row r="15" spans="1:4" ht="43.5">
      <c r="A15" s="15">
        <v>11</v>
      </c>
      <c r="B15" s="10" t="s">
        <v>72</v>
      </c>
      <c r="C15" s="16" t="s">
        <v>74</v>
      </c>
      <c r="D15" s="1" t="s">
        <v>69</v>
      </c>
    </row>
    <row r="16" spans="1:4" ht="43.5">
      <c r="A16" s="15">
        <v>12</v>
      </c>
      <c r="B16" s="10" t="s">
        <v>73</v>
      </c>
      <c r="C16" s="16" t="s">
        <v>75</v>
      </c>
      <c r="D16" s="1" t="s">
        <v>77</v>
      </c>
    </row>
    <row r="17" spans="1:5" s="34" customFormat="1" ht="29">
      <c r="A17" s="15">
        <v>13</v>
      </c>
      <c r="B17" s="10" t="s">
        <v>45</v>
      </c>
      <c r="C17" s="32" t="s">
        <v>46</v>
      </c>
      <c r="D17" s="10" t="s">
        <v>47</v>
      </c>
      <c r="E17" s="33"/>
    </row>
    <row r="18" spans="1:5" s="34" customFormat="1" ht="29">
      <c r="A18" s="15">
        <v>14</v>
      </c>
      <c r="B18" s="10" t="s">
        <v>50</v>
      </c>
      <c r="C18" s="32" t="s">
        <v>51</v>
      </c>
      <c r="D18" s="10" t="s">
        <v>47</v>
      </c>
      <c r="E18" s="33"/>
    </row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463E-29D3-459E-8441-F719F4943FC0}">
  <dimension ref="A1:D10"/>
  <sheetViews>
    <sheetView zoomScale="85" zoomScaleNormal="85" workbookViewId="0">
      <selection activeCell="A4" sqref="A4:XFD10"/>
    </sheetView>
  </sheetViews>
  <sheetFormatPr defaultColWidth="10.6640625" defaultRowHeight="15.5"/>
  <cols>
    <col min="1" max="1" width="5" style="8" bestFit="1" customWidth="1"/>
    <col min="2" max="2" width="55.4140625" style="7" bestFit="1" customWidth="1"/>
    <col min="3" max="3" width="35.25" style="7" bestFit="1" customWidth="1"/>
    <col min="4" max="4" width="29.4140625" style="7" bestFit="1" customWidth="1"/>
    <col min="5" max="16384" width="10.6640625" style="7"/>
  </cols>
  <sheetData>
    <row r="1" spans="1:4" ht="26">
      <c r="A1" s="136" t="s">
        <v>89</v>
      </c>
      <c r="B1" s="136"/>
      <c r="C1" s="136"/>
      <c r="D1" s="136"/>
    </row>
    <row r="2" spans="1:4">
      <c r="A2" s="138" t="s">
        <v>0</v>
      </c>
      <c r="B2" s="138" t="s">
        <v>1</v>
      </c>
      <c r="C2" s="138" t="s">
        <v>98</v>
      </c>
      <c r="D2" s="138" t="s">
        <v>86</v>
      </c>
    </row>
    <row r="3" spans="1:4">
      <c r="A3" s="138"/>
      <c r="B3" s="138"/>
      <c r="C3" s="138"/>
      <c r="D3" s="138"/>
    </row>
    <row r="4" spans="1:4" ht="46.5">
      <c r="A4" s="9">
        <v>1</v>
      </c>
      <c r="B4" s="12" t="s">
        <v>175</v>
      </c>
      <c r="C4" s="11" t="s">
        <v>116</v>
      </c>
      <c r="D4" s="11" t="s">
        <v>176</v>
      </c>
    </row>
    <row r="5" spans="1:4" ht="79.5" customHeight="1">
      <c r="A5" s="9">
        <v>2</v>
      </c>
      <c r="B5" s="10" t="s">
        <v>78</v>
      </c>
      <c r="C5" s="12" t="s">
        <v>79</v>
      </c>
      <c r="D5" s="1" t="s">
        <v>20</v>
      </c>
    </row>
    <row r="6" spans="1:4" ht="31">
      <c r="A6" s="9">
        <v>3</v>
      </c>
      <c r="B6" s="10" t="s">
        <v>80</v>
      </c>
      <c r="C6" s="11" t="s">
        <v>82</v>
      </c>
      <c r="D6" s="5" t="s">
        <v>81</v>
      </c>
    </row>
    <row r="7" spans="1:4" ht="29">
      <c r="A7" s="9">
        <v>4</v>
      </c>
      <c r="B7" s="1" t="s">
        <v>18</v>
      </c>
      <c r="C7" s="2" t="s">
        <v>19</v>
      </c>
      <c r="D7" s="1" t="s">
        <v>17</v>
      </c>
    </row>
    <row r="8" spans="1:4" ht="29">
      <c r="A8" s="9">
        <v>5</v>
      </c>
      <c r="B8" s="1" t="s">
        <v>15</v>
      </c>
      <c r="C8" s="2" t="s">
        <v>16</v>
      </c>
      <c r="D8" s="1" t="s">
        <v>17</v>
      </c>
    </row>
    <row r="9" spans="1:4" ht="31">
      <c r="A9" s="9">
        <v>6</v>
      </c>
      <c r="B9" s="5" t="s">
        <v>164</v>
      </c>
      <c r="C9" s="6" t="s">
        <v>39</v>
      </c>
      <c r="D9" s="1" t="s">
        <v>20</v>
      </c>
    </row>
    <row r="10" spans="1:4" ht="29">
      <c r="A10" s="9">
        <v>7</v>
      </c>
      <c r="B10" s="1" t="s">
        <v>165</v>
      </c>
      <c r="C10" s="2" t="s">
        <v>115</v>
      </c>
      <c r="D10" s="1" t="s">
        <v>17</v>
      </c>
    </row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30CE-F32E-43BA-AA31-731928362504}">
  <dimension ref="A1:G15"/>
  <sheetViews>
    <sheetView zoomScale="85" zoomScaleNormal="85" workbookViewId="0">
      <selection activeCell="B10" sqref="B10"/>
    </sheetView>
  </sheetViews>
  <sheetFormatPr defaultColWidth="10.6640625" defaultRowHeight="14.5"/>
  <cols>
    <col min="1" max="1" width="5" style="13" bestFit="1" customWidth="1"/>
    <col min="2" max="2" width="55.4140625" style="14" bestFit="1" customWidth="1"/>
    <col min="3" max="3" width="14" style="14" bestFit="1" customWidth="1"/>
    <col min="4" max="4" width="13.5" style="14" bestFit="1" customWidth="1"/>
    <col min="5" max="5" width="10.25" style="13" customWidth="1"/>
    <col min="6" max="6" width="29.08203125" style="14" bestFit="1" customWidth="1"/>
    <col min="7" max="7" width="29.4140625" style="14" bestFit="1" customWidth="1"/>
    <col min="8" max="16384" width="10.6640625" style="14"/>
  </cols>
  <sheetData>
    <row r="1" spans="1:7" ht="26">
      <c r="A1" s="136" t="s">
        <v>90</v>
      </c>
      <c r="B1" s="136"/>
      <c r="C1" s="136"/>
      <c r="D1" s="136"/>
      <c r="E1" s="136"/>
      <c r="F1" s="136"/>
      <c r="G1" s="136"/>
    </row>
    <row r="2" spans="1:7">
      <c r="A2" s="137" t="s">
        <v>0</v>
      </c>
      <c r="B2" s="137" t="s">
        <v>1</v>
      </c>
      <c r="C2" s="139" t="s">
        <v>2</v>
      </c>
      <c r="D2" s="139"/>
      <c r="E2" s="139" t="s">
        <v>85</v>
      </c>
      <c r="F2" s="137" t="s">
        <v>98</v>
      </c>
      <c r="G2" s="137" t="s">
        <v>3</v>
      </c>
    </row>
    <row r="3" spans="1:7">
      <c r="A3" s="137"/>
      <c r="B3" s="137"/>
      <c r="C3" s="36" t="s">
        <v>4</v>
      </c>
      <c r="D3" s="36" t="s">
        <v>5</v>
      </c>
      <c r="E3" s="139"/>
      <c r="F3" s="137"/>
      <c r="G3" s="137"/>
    </row>
    <row r="4" spans="1:7" ht="15.5">
      <c r="A4" s="15">
        <v>1</v>
      </c>
      <c r="B4" s="1" t="s">
        <v>29</v>
      </c>
      <c r="C4" s="18">
        <v>43069</v>
      </c>
      <c r="D4" s="18">
        <v>43089</v>
      </c>
      <c r="E4" s="9">
        <v>99500</v>
      </c>
      <c r="F4" s="17" t="s">
        <v>27</v>
      </c>
      <c r="G4" s="1" t="s">
        <v>30</v>
      </c>
    </row>
    <row r="5" spans="1:7" ht="29">
      <c r="A5" s="15">
        <v>2</v>
      </c>
      <c r="B5" s="1" t="s">
        <v>26</v>
      </c>
      <c r="C5" s="18">
        <v>43069</v>
      </c>
      <c r="D5" s="18">
        <v>43089</v>
      </c>
      <c r="E5" s="9">
        <v>99225</v>
      </c>
      <c r="F5" s="17" t="s">
        <v>27</v>
      </c>
      <c r="G5" s="1" t="s">
        <v>28</v>
      </c>
    </row>
    <row r="6" spans="1:7" ht="15.5">
      <c r="A6" s="15">
        <v>3</v>
      </c>
      <c r="B6" s="1" t="s">
        <v>172</v>
      </c>
      <c r="C6" s="18">
        <v>43069</v>
      </c>
      <c r="D6" s="18">
        <v>43089</v>
      </c>
      <c r="E6" s="9">
        <v>99800</v>
      </c>
      <c r="F6" s="17" t="s">
        <v>27</v>
      </c>
      <c r="G6" s="1" t="s">
        <v>173</v>
      </c>
    </row>
    <row r="7" spans="1:7" ht="15.5">
      <c r="A7" s="15">
        <v>4</v>
      </c>
      <c r="B7" s="1" t="s">
        <v>174</v>
      </c>
      <c r="C7" s="18">
        <v>43739</v>
      </c>
      <c r="D7" s="18">
        <v>43089</v>
      </c>
      <c r="E7" s="9">
        <f>90500+84800</f>
        <v>175300</v>
      </c>
      <c r="F7" s="17" t="s">
        <v>27</v>
      </c>
      <c r="G7" s="1" t="s">
        <v>173</v>
      </c>
    </row>
    <row r="8" spans="1:7" ht="29">
      <c r="A8" s="15">
        <v>5</v>
      </c>
      <c r="B8" s="22" t="s">
        <v>55</v>
      </c>
      <c r="C8" s="18">
        <v>42795</v>
      </c>
      <c r="D8" s="18">
        <v>42826</v>
      </c>
      <c r="E8" s="9">
        <v>295238</v>
      </c>
      <c r="F8" s="4" t="s">
        <v>56</v>
      </c>
      <c r="G8" s="1" t="s">
        <v>57</v>
      </c>
    </row>
    <row r="9" spans="1:7" ht="29">
      <c r="A9" s="15">
        <v>6</v>
      </c>
      <c r="B9" s="1" t="s">
        <v>21</v>
      </c>
      <c r="C9" s="3">
        <v>2019</v>
      </c>
      <c r="D9" s="3">
        <v>2021</v>
      </c>
      <c r="E9" s="41"/>
      <c r="F9" s="4" t="s">
        <v>22</v>
      </c>
      <c r="G9" s="1" t="s">
        <v>23</v>
      </c>
    </row>
    <row r="10" spans="1:7" ht="29">
      <c r="A10" s="15">
        <v>7</v>
      </c>
      <c r="B10" s="1" t="s">
        <v>177</v>
      </c>
      <c r="C10" s="18">
        <v>44287</v>
      </c>
      <c r="D10" s="18">
        <v>44317</v>
      </c>
      <c r="E10" s="42"/>
      <c r="F10" s="17" t="s">
        <v>27</v>
      </c>
      <c r="G10" s="1" t="s">
        <v>181</v>
      </c>
    </row>
    <row r="11" spans="1:7">
      <c r="A11" s="15">
        <v>8</v>
      </c>
      <c r="B11" s="40" t="s">
        <v>178</v>
      </c>
      <c r="C11" s="18">
        <v>44287</v>
      </c>
      <c r="D11" s="18">
        <v>44317</v>
      </c>
      <c r="E11" s="30"/>
      <c r="F11" s="17" t="s">
        <v>27</v>
      </c>
      <c r="G11" s="1" t="s">
        <v>181</v>
      </c>
    </row>
    <row r="12" spans="1:7">
      <c r="A12" s="15">
        <v>9</v>
      </c>
      <c r="B12" s="40" t="s">
        <v>179</v>
      </c>
      <c r="C12" s="18">
        <v>44287</v>
      </c>
      <c r="D12" s="18">
        <v>44317</v>
      </c>
      <c r="E12" s="30"/>
      <c r="F12" s="17" t="s">
        <v>27</v>
      </c>
      <c r="G12" s="1" t="s">
        <v>181</v>
      </c>
    </row>
    <row r="13" spans="1:7">
      <c r="A13" s="15">
        <v>10</v>
      </c>
      <c r="B13" s="40" t="s">
        <v>180</v>
      </c>
      <c r="C13" s="18">
        <v>44287</v>
      </c>
      <c r="D13" s="18">
        <v>44317</v>
      </c>
      <c r="E13" s="30"/>
      <c r="F13" s="17" t="s">
        <v>27</v>
      </c>
      <c r="G13" s="1" t="s">
        <v>181</v>
      </c>
    </row>
    <row r="14" spans="1:7">
      <c r="A14" s="15"/>
      <c r="B14" s="16"/>
      <c r="C14" s="16"/>
      <c r="D14" s="16"/>
      <c r="E14" s="15"/>
      <c r="F14" s="16"/>
      <c r="G14" s="16"/>
    </row>
    <row r="15" spans="1:7">
      <c r="A15" s="15"/>
      <c r="B15" s="16"/>
      <c r="C15" s="16"/>
      <c r="D15" s="16"/>
      <c r="E15" s="15"/>
      <c r="F15" s="16"/>
      <c r="G15" s="16"/>
    </row>
  </sheetData>
  <mergeCells count="7">
    <mergeCell ref="A1:G1"/>
    <mergeCell ref="A2:A3"/>
    <mergeCell ref="B2:B3"/>
    <mergeCell ref="C2:D2"/>
    <mergeCell ref="E2:E3"/>
    <mergeCell ref="F2:F3"/>
    <mergeCell ref="G2:G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Without Client</vt:lpstr>
      <vt:lpstr>With Client</vt:lpstr>
      <vt:lpstr>Combined</vt:lpstr>
      <vt:lpstr>Health</vt:lpstr>
      <vt:lpstr>Education</vt:lpstr>
      <vt:lpstr>Agriculture</vt:lpstr>
      <vt:lpstr>Livelihood</vt:lpstr>
      <vt:lpstr>Sanitation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dcterms:created xsi:type="dcterms:W3CDTF">2021-02-08T09:21:33Z</dcterms:created>
  <dcterms:modified xsi:type="dcterms:W3CDTF">2023-07-27T17:50:31Z</dcterms:modified>
</cp:coreProperties>
</file>